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eunglog/Library/Mobile Documents/com~apple~CloudDocs/서울친교회/2026년 봄친교회/"/>
    </mc:Choice>
  </mc:AlternateContent>
  <xr:revisionPtr revIDLastSave="0" documentId="13_ncr:1_{A6DE6EEC-CB27-7249-A978-D8328FCB73D1}" xr6:coauthVersionLast="47" xr6:coauthVersionMax="47" xr10:uidLastSave="{00000000-0000-0000-0000-000000000000}"/>
  <bookViews>
    <workbookView xWindow="0" yWindow="500" windowWidth="38400" windowHeight="21100" activeTab="1" xr2:uid="{C2A139FD-E8EC-A044-963B-B2B116D90445}"/>
  </bookViews>
  <sheets>
    <sheet name="객실배치" sheetId="1" r:id="rId1"/>
    <sheet name="통계" sheetId="2" r:id="rId2"/>
  </sheets>
  <definedNames>
    <definedName name="_xlnm._FilterDatabase" localSheetId="0" hidden="1">객실배치!$B$2:$I$128</definedName>
    <definedName name="_xlnm.Print_Titles" localSheetId="0">객실배치!$2:$2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D16" i="2"/>
  <c r="E16" i="2"/>
  <c r="F16" i="2"/>
  <c r="G16" i="2"/>
  <c r="H16" i="2"/>
  <c r="E24" i="2"/>
  <c r="G24" i="2"/>
  <c r="C24" i="2"/>
  <c r="H5" i="2"/>
  <c r="H6" i="2"/>
  <c r="H7" i="2"/>
  <c r="H8" i="2"/>
  <c r="H9" i="2"/>
  <c r="H10" i="2"/>
  <c r="H11" i="2"/>
  <c r="H4" i="2"/>
  <c r="G5" i="2"/>
  <c r="G6" i="2"/>
  <c r="G7" i="2"/>
  <c r="G8" i="2"/>
  <c r="G9" i="2"/>
  <c r="G10" i="2"/>
  <c r="G11" i="2"/>
  <c r="G4" i="2"/>
  <c r="F5" i="2"/>
  <c r="F6" i="2"/>
  <c r="F7" i="2"/>
  <c r="F8" i="2"/>
  <c r="F9" i="2"/>
  <c r="F10" i="2"/>
  <c r="F11" i="2"/>
  <c r="F4" i="2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E4" i="2"/>
  <c r="D4" i="2"/>
  <c r="C4" i="2"/>
  <c r="H24" i="2" l="1"/>
  <c r="C26" i="2" s="1"/>
  <c r="C30" i="2" s="1"/>
  <c r="E12" i="2"/>
  <c r="E14" i="2" s="1"/>
  <c r="D12" i="2"/>
  <c r="D14" i="2" s="1"/>
  <c r="C12" i="2"/>
  <c r="H12" i="2"/>
  <c r="F14" i="2" s="1"/>
  <c r="F12" i="2"/>
  <c r="G12" i="2"/>
  <c r="H14" i="2" l="1"/>
  <c r="D32" i="2" s="1"/>
</calcChain>
</file>

<file path=xl/sharedStrings.xml><?xml version="1.0" encoding="utf-8"?>
<sst xmlns="http://schemas.openxmlformats.org/spreadsheetml/2006/main" count="406" uniqueCount="152">
  <si>
    <t>별관</t>
    <phoneticPr fontId="2" type="noConversion"/>
  </si>
  <si>
    <t>동</t>
    <phoneticPr fontId="2" type="noConversion"/>
  </si>
  <si>
    <t>평</t>
    <phoneticPr fontId="2" type="noConversion"/>
  </si>
  <si>
    <t>호실</t>
    <phoneticPr fontId="2" type="noConversion"/>
  </si>
  <si>
    <t>입실자</t>
    <phoneticPr fontId="2" type="noConversion"/>
  </si>
  <si>
    <t>기간</t>
    <phoneticPr fontId="2" type="noConversion"/>
  </si>
  <si>
    <t>친교회</t>
    <phoneticPr fontId="2" type="noConversion"/>
  </si>
  <si>
    <t>서울친교회</t>
    <phoneticPr fontId="2" type="noConversion"/>
  </si>
  <si>
    <t>본관</t>
    <phoneticPr fontId="2" type="noConversion"/>
  </si>
  <si>
    <t>김학수, 주견자</t>
    <phoneticPr fontId="2" type="noConversion"/>
  </si>
  <si>
    <t>이정삼, 김용숙</t>
    <phoneticPr fontId="2" type="noConversion"/>
  </si>
  <si>
    <t>장창호, 정해숙</t>
    <phoneticPr fontId="2" type="noConversion"/>
  </si>
  <si>
    <t>최정식, 권미애</t>
    <phoneticPr fontId="2" type="noConversion"/>
  </si>
  <si>
    <t>김홍길, 이순자</t>
    <phoneticPr fontId="2" type="noConversion"/>
  </si>
  <si>
    <t>이명규, 남선희</t>
    <phoneticPr fontId="2" type="noConversion"/>
  </si>
  <si>
    <t>이은철, 임현희</t>
    <phoneticPr fontId="2" type="noConversion"/>
  </si>
  <si>
    <t>김경석, 채승희</t>
    <phoneticPr fontId="2" type="noConversion"/>
  </si>
  <si>
    <t>라영규, 장윤숙</t>
    <phoneticPr fontId="2" type="noConversion"/>
  </si>
  <si>
    <t>김상완, 김성혜</t>
    <phoneticPr fontId="2" type="noConversion"/>
  </si>
  <si>
    <t>이승록, 손은미</t>
    <phoneticPr fontId="2" type="noConversion"/>
  </si>
  <si>
    <t>심재혁, 엄승희</t>
    <phoneticPr fontId="2" type="noConversion"/>
  </si>
  <si>
    <t>이승훈 가족</t>
    <phoneticPr fontId="2" type="noConversion"/>
  </si>
  <si>
    <t>유병현 가족</t>
    <phoneticPr fontId="2" type="noConversion"/>
  </si>
  <si>
    <t>김성진, 이승호 정창욱, 김지수</t>
    <phoneticPr fontId="2" type="noConversion"/>
  </si>
  <si>
    <t>김관준, 오상률, 박세호, 이강헌</t>
    <phoneticPr fontId="2" type="noConversion"/>
  </si>
  <si>
    <t>이형주 가족</t>
    <phoneticPr fontId="2" type="noConversion"/>
  </si>
  <si>
    <t>송기창 가족</t>
    <phoneticPr fontId="2" type="noConversion"/>
  </si>
  <si>
    <t>박세용 부부, 김병석 부부</t>
    <phoneticPr fontId="2" type="noConversion"/>
  </si>
  <si>
    <t>김명순 부부, 최정기</t>
    <phoneticPr fontId="2" type="noConversion"/>
  </si>
  <si>
    <t>경인친교회</t>
    <phoneticPr fontId="2" type="noConversion"/>
  </si>
  <si>
    <t>김용웅, 박옥자</t>
    <phoneticPr fontId="2" type="noConversion"/>
  </si>
  <si>
    <t>박선종, 윤순자</t>
    <phoneticPr fontId="2" type="noConversion"/>
  </si>
  <si>
    <t>이오림, 이근이</t>
    <phoneticPr fontId="2" type="noConversion"/>
  </si>
  <si>
    <t>전병호, 박옥희</t>
    <phoneticPr fontId="2" type="noConversion"/>
  </si>
  <si>
    <t>이재기, 문현숙</t>
    <phoneticPr fontId="2" type="noConversion"/>
  </si>
  <si>
    <t>정민철, 주석영, 박정혁 가족</t>
    <phoneticPr fontId="2" type="noConversion"/>
  </si>
  <si>
    <t>박창신, 장혜경</t>
    <phoneticPr fontId="2" type="noConversion"/>
  </si>
  <si>
    <t>박일래, 하은주, 김영태, 이지은</t>
    <phoneticPr fontId="2" type="noConversion"/>
  </si>
  <si>
    <t>정동명 가족, 오수정</t>
    <phoneticPr fontId="2" type="noConversion"/>
  </si>
  <si>
    <t>전윤택, 이뵈뵈, 정하영</t>
    <phoneticPr fontId="2" type="noConversion"/>
  </si>
  <si>
    <t>윤석호, 유영이, 엄선용, 허성구</t>
    <phoneticPr fontId="2" type="noConversion"/>
  </si>
  <si>
    <t>김조동, SWATH, SREY AUN</t>
    <phoneticPr fontId="2" type="noConversion"/>
  </si>
  <si>
    <t>PHALIN, LIDE / SOKHA, VICHORA</t>
    <phoneticPr fontId="2" type="noConversion"/>
  </si>
  <si>
    <t>박동근, 석복순</t>
    <phoneticPr fontId="2" type="noConversion"/>
  </si>
  <si>
    <t>손인석, 성정희</t>
    <phoneticPr fontId="2" type="noConversion"/>
  </si>
  <si>
    <t>김기명, 김미희</t>
    <phoneticPr fontId="2" type="noConversion"/>
  </si>
  <si>
    <t>여우석, 강미선</t>
    <phoneticPr fontId="2" type="noConversion"/>
  </si>
  <si>
    <t>이상돈, 김 선</t>
    <phoneticPr fontId="2" type="noConversion"/>
  </si>
  <si>
    <t>유재명, 신경애</t>
    <phoneticPr fontId="2" type="noConversion"/>
  </si>
  <si>
    <t>전대경, 김민경 가족</t>
    <phoneticPr fontId="2" type="noConversion"/>
  </si>
  <si>
    <t>유병선, 신효선 가족</t>
    <phoneticPr fontId="2" type="noConversion"/>
  </si>
  <si>
    <t>경원친교회</t>
    <phoneticPr fontId="2" type="noConversion"/>
  </si>
  <si>
    <t>김기준, 이금실</t>
    <phoneticPr fontId="2" type="noConversion"/>
  </si>
  <si>
    <t>강효민, 강세라</t>
    <phoneticPr fontId="2" type="noConversion"/>
  </si>
  <si>
    <t>박규용, 김경숙</t>
    <phoneticPr fontId="2" type="noConversion"/>
  </si>
  <si>
    <t>김두성, 이미녕</t>
    <phoneticPr fontId="2" type="noConversion"/>
  </si>
  <si>
    <t>김완수, 이형심</t>
    <phoneticPr fontId="2" type="noConversion"/>
  </si>
  <si>
    <t>김길숙, 정순혜</t>
    <phoneticPr fontId="2" type="noConversion"/>
  </si>
  <si>
    <t>김삼영, 이기준</t>
    <phoneticPr fontId="2" type="noConversion"/>
  </si>
  <si>
    <t>하원효, 김순정</t>
    <phoneticPr fontId="2" type="noConversion"/>
  </si>
  <si>
    <t>박동현 가족</t>
    <phoneticPr fontId="2" type="noConversion"/>
  </si>
  <si>
    <t>임충만 가족</t>
    <phoneticPr fontId="2" type="noConversion"/>
  </si>
  <si>
    <t>정영광 가족</t>
    <phoneticPr fontId="2" type="noConversion"/>
  </si>
  <si>
    <t>정선영, 정성길, 자녀</t>
    <phoneticPr fontId="2" type="noConversion"/>
  </si>
  <si>
    <t>이정삼, 김경희</t>
    <phoneticPr fontId="2" type="noConversion"/>
  </si>
  <si>
    <t>정하권 부부, Jameson 부부</t>
    <phoneticPr fontId="2" type="noConversion"/>
  </si>
  <si>
    <t>한인숙, 한연심, 윤정희</t>
    <phoneticPr fontId="2" type="noConversion"/>
  </si>
  <si>
    <t>박상준 부부, 조경길 부부</t>
    <phoneticPr fontId="2" type="noConversion"/>
  </si>
  <si>
    <t>오성현 부부, 김승수 부부</t>
    <phoneticPr fontId="2" type="noConversion"/>
  </si>
  <si>
    <t>정규영 가족</t>
    <phoneticPr fontId="2" type="noConversion"/>
  </si>
  <si>
    <t>인원</t>
    <phoneticPr fontId="2" type="noConversion"/>
  </si>
  <si>
    <t>영남친교회</t>
    <phoneticPr fontId="2" type="noConversion"/>
  </si>
  <si>
    <t>노명학, 한영배, 1명</t>
    <phoneticPr fontId="2" type="noConversion"/>
  </si>
  <si>
    <t>유봉호, 김길숙</t>
    <phoneticPr fontId="2" type="noConversion"/>
  </si>
  <si>
    <t>손용암, 김상옥</t>
    <phoneticPr fontId="2" type="noConversion"/>
  </si>
  <si>
    <t>김성준, 박순옥</t>
    <phoneticPr fontId="2" type="noConversion"/>
  </si>
  <si>
    <t>김부길, 장선경</t>
    <phoneticPr fontId="2" type="noConversion"/>
  </si>
  <si>
    <t>이철규</t>
    <phoneticPr fontId="2" type="noConversion"/>
  </si>
  <si>
    <t>조동길 부부, 강성기 부부</t>
    <phoneticPr fontId="2" type="noConversion"/>
  </si>
  <si>
    <t>우치열 부부, 정훈, 지번</t>
    <phoneticPr fontId="2" type="noConversion"/>
  </si>
  <si>
    <t>윤광우 부부, 정재화 부부</t>
    <phoneticPr fontId="2" type="noConversion"/>
  </si>
  <si>
    <t>손덕철 부부, 김구섭 부부</t>
    <phoneticPr fontId="2" type="noConversion"/>
  </si>
  <si>
    <t>손춘영 부부</t>
    <phoneticPr fontId="2" type="noConversion"/>
  </si>
  <si>
    <t>호남친교회</t>
    <phoneticPr fontId="2" type="noConversion"/>
  </si>
  <si>
    <t>김공만, 김국태</t>
    <phoneticPr fontId="2" type="noConversion"/>
  </si>
  <si>
    <t>신해영 부부</t>
    <phoneticPr fontId="2" type="noConversion"/>
  </si>
  <si>
    <t>오상권 부부</t>
    <phoneticPr fontId="2" type="noConversion"/>
  </si>
  <si>
    <t>강민구 가족</t>
    <phoneticPr fontId="2" type="noConversion"/>
  </si>
  <si>
    <t>김종덕 부부, 박안수 부부</t>
    <phoneticPr fontId="2" type="noConversion"/>
  </si>
  <si>
    <t>중부친교회</t>
    <phoneticPr fontId="2" type="noConversion"/>
  </si>
  <si>
    <t>최철광 부부</t>
    <phoneticPr fontId="2" type="noConversion"/>
  </si>
  <si>
    <t>이강산 부부</t>
    <phoneticPr fontId="2" type="noConversion"/>
  </si>
  <si>
    <t>김세현 가족</t>
    <phoneticPr fontId="2" type="noConversion"/>
  </si>
  <si>
    <t>김세창 가족</t>
    <phoneticPr fontId="2" type="noConversion"/>
  </si>
  <si>
    <t>김민령 가족</t>
    <phoneticPr fontId="2" type="noConversion"/>
  </si>
  <si>
    <t>방의택 부부, 이요한 부부</t>
    <phoneticPr fontId="2" type="noConversion"/>
  </si>
  <si>
    <t>이영국 부부, 김길용 부부</t>
    <phoneticPr fontId="2" type="noConversion"/>
  </si>
  <si>
    <t>전재삼 부부, 박순채</t>
    <phoneticPr fontId="2" type="noConversion"/>
  </si>
  <si>
    <t>경충친교회</t>
    <phoneticPr fontId="2" type="noConversion"/>
  </si>
  <si>
    <t>김정웅, 유명희</t>
    <phoneticPr fontId="2" type="noConversion"/>
  </si>
  <si>
    <t>정명화, 조금선</t>
    <phoneticPr fontId="2" type="noConversion"/>
  </si>
  <si>
    <t>하현복, 박현숙</t>
    <phoneticPr fontId="2" type="noConversion"/>
  </si>
  <si>
    <t>문무철, 권수경</t>
    <phoneticPr fontId="2" type="noConversion"/>
  </si>
  <si>
    <t>장태범 부부, 장기영 부부</t>
    <phoneticPr fontId="2" type="noConversion"/>
  </si>
  <si>
    <t>한연석 부부, 정진국 부부</t>
    <phoneticPr fontId="2" type="noConversion"/>
  </si>
  <si>
    <t>이광배 가족</t>
    <phoneticPr fontId="2" type="noConversion"/>
  </si>
  <si>
    <t>한권희 가족</t>
    <phoneticPr fontId="2" type="noConversion"/>
  </si>
  <si>
    <t>고현식 부부</t>
    <phoneticPr fontId="2" type="noConversion"/>
  </si>
  <si>
    <t>강전구, 봉세창, 김병태</t>
    <phoneticPr fontId="2" type="noConversion"/>
  </si>
  <si>
    <t>이대은, 정미영</t>
    <phoneticPr fontId="2" type="noConversion"/>
  </si>
  <si>
    <t>신학교</t>
    <phoneticPr fontId="2" type="noConversion"/>
  </si>
  <si>
    <t>김택수</t>
    <phoneticPr fontId="2" type="noConversion"/>
  </si>
  <si>
    <t>김광모, 정종문, 엄태항</t>
    <phoneticPr fontId="2" type="noConversion"/>
  </si>
  <si>
    <t>박상복 부부, 정재영 가족</t>
    <phoneticPr fontId="2" type="noConversion"/>
  </si>
  <si>
    <t>한현수 가족</t>
    <phoneticPr fontId="2" type="noConversion"/>
  </si>
  <si>
    <t>고한결, 김기훈, 이상은</t>
    <phoneticPr fontId="2" type="noConversion"/>
  </si>
  <si>
    <t>최하솜, 이옥숙, 이상희</t>
    <phoneticPr fontId="2" type="noConversion"/>
  </si>
  <si>
    <t>전체인원</t>
    <phoneticPr fontId="2" type="noConversion"/>
  </si>
  <si>
    <t>25평</t>
    <phoneticPr fontId="2" type="noConversion"/>
  </si>
  <si>
    <t>17평</t>
    <phoneticPr fontId="2" type="noConversion"/>
  </si>
  <si>
    <t>1박</t>
    <phoneticPr fontId="2" type="noConversion"/>
  </si>
  <si>
    <t>2박</t>
    <phoneticPr fontId="2" type="noConversion"/>
  </si>
  <si>
    <t>합계</t>
    <phoneticPr fontId="2" type="noConversion"/>
  </si>
  <si>
    <t>예상비용</t>
    <phoneticPr fontId="2" type="noConversion"/>
  </si>
  <si>
    <t>3박</t>
    <phoneticPr fontId="2" type="noConversion"/>
  </si>
  <si>
    <t>친교회 및 기관별 객실 현황</t>
    <phoneticPr fontId="2" type="noConversion"/>
  </si>
  <si>
    <t>식사 인원</t>
    <phoneticPr fontId="2" type="noConversion"/>
  </si>
  <si>
    <t>월요일</t>
    <phoneticPr fontId="2" type="noConversion"/>
  </si>
  <si>
    <t>화요일</t>
    <phoneticPr fontId="2" type="noConversion"/>
  </si>
  <si>
    <t>수요일</t>
    <phoneticPr fontId="2" type="noConversion"/>
  </si>
  <si>
    <t>아침</t>
    <phoneticPr fontId="2" type="noConversion"/>
  </si>
  <si>
    <t>점심</t>
    <phoneticPr fontId="2" type="noConversion"/>
  </si>
  <si>
    <t>저녁</t>
    <phoneticPr fontId="2" type="noConversion"/>
  </si>
  <si>
    <t>소계</t>
    <phoneticPr fontId="2" type="noConversion"/>
  </si>
  <si>
    <t>화요일 중식비</t>
    <phoneticPr fontId="2" type="noConversion"/>
  </si>
  <si>
    <t>성호 리조트 지불액</t>
    <phoneticPr fontId="2" type="noConversion"/>
  </si>
  <si>
    <t>류현택, 강성순</t>
    <phoneticPr fontId="2" type="noConversion"/>
  </si>
  <si>
    <t>열쇠 반납</t>
    <phoneticPr fontId="2" type="noConversion"/>
  </si>
  <si>
    <t>춘계 전국 목회자 친교회 객실 배정</t>
    <phoneticPr fontId="2" type="noConversion"/>
  </si>
  <si>
    <t>김만홍, 신철남</t>
    <phoneticPr fontId="2" type="noConversion"/>
  </si>
  <si>
    <t>문정용, 김미영</t>
    <phoneticPr fontId="2" type="noConversion"/>
  </si>
  <si>
    <t>강태진, 김종주, 자녀 1</t>
    <phoneticPr fontId="2" type="noConversion"/>
  </si>
  <si>
    <t>공실</t>
    <phoneticPr fontId="2" type="noConversion"/>
  </si>
  <si>
    <t>이건우, 안정환</t>
    <phoneticPr fontId="2" type="noConversion"/>
  </si>
  <si>
    <t>모리모토</t>
    <phoneticPr fontId="2" type="noConversion"/>
  </si>
  <si>
    <t>신현섭 부부, 이도인 부부</t>
    <phoneticPr fontId="2" type="noConversion"/>
  </si>
  <si>
    <t>김재경 부부, 정상직 부부</t>
    <phoneticPr fontId="2" type="noConversion"/>
  </si>
  <si>
    <t>이선정 가족</t>
    <phoneticPr fontId="2" type="noConversion"/>
  </si>
  <si>
    <t>정지원, 박정수</t>
    <phoneticPr fontId="2" type="noConversion"/>
  </si>
  <si>
    <t>김순이, 곽옥영</t>
    <phoneticPr fontId="2" type="noConversion"/>
  </si>
  <si>
    <t>이호준 부부</t>
    <phoneticPr fontId="2" type="noConversion"/>
  </si>
  <si>
    <t>(&lt;- 3박)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</si>
</sst>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6" formatCode="#,##0_ "/>
  </numFmts>
  <fonts count="8"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5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5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1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76" fontId="1" fillId="2" borderId="3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1" fontId="1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BA25-1A27-DA44-B416-01ABCAF5C1D6}">
  <dimension ref="B1:I129"/>
  <sheetViews>
    <sheetView zoomScale="173" zoomScaleNormal="173" workbookViewId="0">
      <pane ySplit="2" topLeftCell="A45" activePane="bottomLeft" state="frozen"/>
      <selection pane="bottomLeft" activeCell="H113" sqref="H113"/>
    </sheetView>
  </sheetViews>
  <sheetFormatPr baseColWidth="10" defaultRowHeight="17"/>
  <cols>
    <col min="1" max="1" width="7.5703125" style="10" customWidth="1"/>
    <col min="2" max="2" width="11.85546875" style="10" customWidth="1"/>
    <col min="3" max="3" width="32.85546875" style="10" customWidth="1"/>
    <col min="4" max="7" width="9.140625" style="10" customWidth="1"/>
    <col min="8" max="8" width="7.7109375" style="10" customWidth="1"/>
    <col min="9" max="16384" width="10.7109375" style="10"/>
  </cols>
  <sheetData>
    <row r="1" spans="2:9" ht="22">
      <c r="B1" s="19" t="s">
        <v>138</v>
      </c>
      <c r="C1" s="19"/>
      <c r="D1" s="19"/>
      <c r="E1" s="19"/>
      <c r="F1" s="19"/>
      <c r="G1" s="19"/>
      <c r="H1" s="19"/>
      <c r="I1" s="19"/>
    </row>
    <row r="2" spans="2:9">
      <c r="B2" s="12" t="s">
        <v>6</v>
      </c>
      <c r="C2" s="12" t="s">
        <v>4</v>
      </c>
      <c r="D2" s="12" t="s">
        <v>70</v>
      </c>
      <c r="E2" s="12" t="s">
        <v>1</v>
      </c>
      <c r="F2" s="12" t="s">
        <v>2</v>
      </c>
      <c r="G2" s="12" t="s">
        <v>3</v>
      </c>
      <c r="H2" s="12" t="s">
        <v>5</v>
      </c>
      <c r="I2" s="12" t="s">
        <v>137</v>
      </c>
    </row>
    <row r="3" spans="2:9">
      <c r="B3" s="11" t="s">
        <v>7</v>
      </c>
      <c r="C3" s="11" t="s">
        <v>10</v>
      </c>
      <c r="D3" s="11">
        <v>2</v>
      </c>
      <c r="E3" s="11" t="s">
        <v>8</v>
      </c>
      <c r="F3" s="11">
        <v>17</v>
      </c>
      <c r="G3" s="11">
        <v>1206</v>
      </c>
      <c r="H3" s="11">
        <v>3</v>
      </c>
      <c r="I3" s="11"/>
    </row>
    <row r="4" spans="2:9">
      <c r="B4" s="11" t="s">
        <v>7</v>
      </c>
      <c r="C4" s="11" t="s">
        <v>9</v>
      </c>
      <c r="D4" s="11">
        <v>2</v>
      </c>
      <c r="E4" s="11" t="s">
        <v>8</v>
      </c>
      <c r="F4" s="11">
        <v>17</v>
      </c>
      <c r="G4" s="11">
        <v>1209</v>
      </c>
      <c r="H4" s="11">
        <v>2</v>
      </c>
      <c r="I4" s="11"/>
    </row>
    <row r="5" spans="2:9">
      <c r="B5" s="11" t="s">
        <v>7</v>
      </c>
      <c r="C5" s="11" t="s">
        <v>11</v>
      </c>
      <c r="D5" s="11">
        <v>2</v>
      </c>
      <c r="E5" s="11" t="s">
        <v>8</v>
      </c>
      <c r="F5" s="11">
        <v>17</v>
      </c>
      <c r="G5" s="11">
        <v>1215</v>
      </c>
      <c r="H5" s="11">
        <v>2</v>
      </c>
      <c r="I5" s="11"/>
    </row>
    <row r="6" spans="2:9">
      <c r="B6" s="11" t="s">
        <v>7</v>
      </c>
      <c r="C6" s="11" t="s">
        <v>12</v>
      </c>
      <c r="D6" s="11">
        <v>2</v>
      </c>
      <c r="E6" s="11" t="s">
        <v>8</v>
      </c>
      <c r="F6" s="11">
        <v>17</v>
      </c>
      <c r="G6" s="11">
        <v>1210</v>
      </c>
      <c r="H6" s="11">
        <v>2</v>
      </c>
      <c r="I6" s="11"/>
    </row>
    <row r="7" spans="2:9">
      <c r="B7" s="11" t="s">
        <v>7</v>
      </c>
      <c r="C7" s="11" t="s">
        <v>13</v>
      </c>
      <c r="D7" s="11">
        <v>2</v>
      </c>
      <c r="E7" s="11" t="s">
        <v>8</v>
      </c>
      <c r="F7" s="11">
        <v>17</v>
      </c>
      <c r="G7" s="11">
        <v>1201</v>
      </c>
      <c r="H7" s="11">
        <v>2</v>
      </c>
      <c r="I7" s="11"/>
    </row>
    <row r="8" spans="2:9">
      <c r="B8" s="11" t="s">
        <v>7</v>
      </c>
      <c r="C8" s="11" t="s">
        <v>14</v>
      </c>
      <c r="D8" s="11">
        <v>2</v>
      </c>
      <c r="E8" s="11" t="s">
        <v>8</v>
      </c>
      <c r="F8" s="11">
        <v>17</v>
      </c>
      <c r="G8" s="11">
        <v>1211</v>
      </c>
      <c r="H8" s="11">
        <v>2</v>
      </c>
      <c r="I8" s="11"/>
    </row>
    <row r="9" spans="2:9">
      <c r="B9" s="11" t="s">
        <v>7</v>
      </c>
      <c r="C9" s="11" t="s">
        <v>15</v>
      </c>
      <c r="D9" s="11">
        <v>2</v>
      </c>
      <c r="E9" s="11" t="s">
        <v>8</v>
      </c>
      <c r="F9" s="11">
        <v>17</v>
      </c>
      <c r="G9" s="11">
        <v>1214</v>
      </c>
      <c r="H9" s="11">
        <v>2</v>
      </c>
      <c r="I9" s="11"/>
    </row>
    <row r="10" spans="2:9">
      <c r="B10" s="11" t="s">
        <v>7</v>
      </c>
      <c r="C10" s="11" t="s">
        <v>16</v>
      </c>
      <c r="D10" s="11">
        <v>2</v>
      </c>
      <c r="E10" s="11" t="s">
        <v>8</v>
      </c>
      <c r="F10" s="11">
        <v>17</v>
      </c>
      <c r="G10" s="11">
        <v>1218</v>
      </c>
      <c r="H10" s="11">
        <v>2</v>
      </c>
      <c r="I10" s="11"/>
    </row>
    <row r="11" spans="2:9">
      <c r="B11" s="11" t="s">
        <v>7</v>
      </c>
      <c r="C11" s="11" t="s">
        <v>17</v>
      </c>
      <c r="D11" s="11">
        <v>2</v>
      </c>
      <c r="E11" s="11" t="s">
        <v>8</v>
      </c>
      <c r="F11" s="11">
        <v>17</v>
      </c>
      <c r="G11" s="11">
        <v>1202</v>
      </c>
      <c r="H11" s="11">
        <v>2</v>
      </c>
      <c r="I11" s="11"/>
    </row>
    <row r="12" spans="2:9">
      <c r="B12" s="11" t="s">
        <v>7</v>
      </c>
      <c r="C12" s="11" t="s">
        <v>18</v>
      </c>
      <c r="D12" s="11">
        <v>2</v>
      </c>
      <c r="E12" s="11" t="s">
        <v>8</v>
      </c>
      <c r="F12" s="11">
        <v>17</v>
      </c>
      <c r="G12" s="11">
        <v>1205</v>
      </c>
      <c r="H12" s="11">
        <v>1</v>
      </c>
      <c r="I12" s="11"/>
    </row>
    <row r="13" spans="2:9">
      <c r="B13" s="11" t="s">
        <v>7</v>
      </c>
      <c r="C13" s="11" t="s">
        <v>19</v>
      </c>
      <c r="D13" s="11">
        <v>2</v>
      </c>
      <c r="E13" s="11" t="s">
        <v>0</v>
      </c>
      <c r="F13" s="11">
        <v>17</v>
      </c>
      <c r="G13" s="11">
        <v>2101</v>
      </c>
      <c r="H13" s="11">
        <v>3</v>
      </c>
      <c r="I13" s="11"/>
    </row>
    <row r="14" spans="2:9">
      <c r="B14" s="11" t="s">
        <v>7</v>
      </c>
      <c r="C14" s="11" t="s">
        <v>20</v>
      </c>
      <c r="D14" s="11">
        <v>2</v>
      </c>
      <c r="E14" s="11" t="s">
        <v>0</v>
      </c>
      <c r="F14" s="11">
        <v>17</v>
      </c>
      <c r="G14" s="11">
        <v>2102</v>
      </c>
      <c r="H14" s="11">
        <v>2</v>
      </c>
      <c r="I14" s="11"/>
    </row>
    <row r="15" spans="2:9">
      <c r="B15" s="11" t="s">
        <v>7</v>
      </c>
      <c r="C15" s="11" t="s">
        <v>21</v>
      </c>
      <c r="D15" s="11">
        <v>4</v>
      </c>
      <c r="E15" s="11" t="s">
        <v>0</v>
      </c>
      <c r="F15" s="11">
        <v>17</v>
      </c>
      <c r="G15" s="11">
        <v>2105</v>
      </c>
      <c r="H15" s="11">
        <v>3</v>
      </c>
      <c r="I15" s="11"/>
    </row>
    <row r="16" spans="2:9">
      <c r="B16" s="11" t="s">
        <v>7</v>
      </c>
      <c r="C16" s="11" t="s">
        <v>22</v>
      </c>
      <c r="D16" s="11">
        <v>4</v>
      </c>
      <c r="E16" s="11" t="s">
        <v>0</v>
      </c>
      <c r="F16" s="11">
        <v>17</v>
      </c>
      <c r="G16" s="11">
        <v>2106</v>
      </c>
      <c r="H16" s="11">
        <v>3</v>
      </c>
      <c r="I16" s="11"/>
    </row>
    <row r="17" spans="2:9">
      <c r="B17" s="11" t="s">
        <v>7</v>
      </c>
      <c r="C17" s="11" t="s">
        <v>23</v>
      </c>
      <c r="D17" s="11">
        <v>4</v>
      </c>
      <c r="E17" s="11" t="s">
        <v>0</v>
      </c>
      <c r="F17" s="11">
        <v>25</v>
      </c>
      <c r="G17" s="11">
        <v>2103</v>
      </c>
      <c r="H17" s="11">
        <v>2</v>
      </c>
      <c r="I17" s="11"/>
    </row>
    <row r="18" spans="2:9">
      <c r="B18" s="11" t="s">
        <v>7</v>
      </c>
      <c r="C18" s="11" t="s">
        <v>24</v>
      </c>
      <c r="D18" s="11">
        <v>4</v>
      </c>
      <c r="E18" s="11" t="s">
        <v>0</v>
      </c>
      <c r="F18" s="11">
        <v>25</v>
      </c>
      <c r="G18" s="11">
        <v>2104</v>
      </c>
      <c r="H18" s="11">
        <v>2</v>
      </c>
      <c r="I18" s="11"/>
    </row>
    <row r="19" spans="2:9">
      <c r="B19" s="11" t="s">
        <v>7</v>
      </c>
      <c r="C19" s="11" t="s">
        <v>25</v>
      </c>
      <c r="D19" s="11">
        <v>5</v>
      </c>
      <c r="E19" s="11" t="s">
        <v>0</v>
      </c>
      <c r="F19" s="11">
        <v>25</v>
      </c>
      <c r="G19" s="11">
        <v>2108</v>
      </c>
      <c r="H19" s="11">
        <v>2</v>
      </c>
      <c r="I19" s="11"/>
    </row>
    <row r="20" spans="2:9">
      <c r="B20" s="11" t="s">
        <v>7</v>
      </c>
      <c r="C20" s="11" t="s">
        <v>26</v>
      </c>
      <c r="D20" s="11">
        <v>5</v>
      </c>
      <c r="E20" s="11" t="s">
        <v>0</v>
      </c>
      <c r="F20" s="11">
        <v>25</v>
      </c>
      <c r="G20" s="11">
        <v>2109</v>
      </c>
      <c r="H20" s="11">
        <v>2</v>
      </c>
      <c r="I20" s="11"/>
    </row>
    <row r="21" spans="2:9">
      <c r="B21" s="11" t="s">
        <v>7</v>
      </c>
      <c r="C21" s="11" t="s">
        <v>27</v>
      </c>
      <c r="D21" s="11">
        <v>4</v>
      </c>
      <c r="E21" s="11" t="s">
        <v>8</v>
      </c>
      <c r="F21" s="11">
        <v>25</v>
      </c>
      <c r="G21" s="11">
        <v>1208</v>
      </c>
      <c r="H21" s="11">
        <v>1</v>
      </c>
      <c r="I21" s="11"/>
    </row>
    <row r="22" spans="2:9">
      <c r="B22" s="11" t="s">
        <v>7</v>
      </c>
      <c r="C22" s="11" t="s">
        <v>28</v>
      </c>
      <c r="D22" s="11">
        <v>3</v>
      </c>
      <c r="E22" s="11" t="s">
        <v>8</v>
      </c>
      <c r="F22" s="11">
        <v>25</v>
      </c>
      <c r="G22" s="11">
        <v>1203</v>
      </c>
      <c r="H22" s="11">
        <v>3</v>
      </c>
      <c r="I22" s="11"/>
    </row>
    <row r="23" spans="2:9">
      <c r="B23" s="11" t="s">
        <v>29</v>
      </c>
      <c r="C23" s="11" t="s">
        <v>30</v>
      </c>
      <c r="D23" s="11">
        <v>2</v>
      </c>
      <c r="E23" s="11" t="s">
        <v>8</v>
      </c>
      <c r="F23" s="11">
        <v>17</v>
      </c>
      <c r="G23" s="11">
        <v>1309</v>
      </c>
      <c r="H23" s="11">
        <v>2</v>
      </c>
      <c r="I23" s="11"/>
    </row>
    <row r="24" spans="2:9">
      <c r="B24" s="11" t="s">
        <v>29</v>
      </c>
      <c r="C24" s="11" t="s">
        <v>31</v>
      </c>
      <c r="D24" s="11">
        <v>2</v>
      </c>
      <c r="E24" s="11" t="s">
        <v>8</v>
      </c>
      <c r="F24" s="11">
        <v>17</v>
      </c>
      <c r="G24" s="11">
        <v>1301</v>
      </c>
      <c r="H24" s="11">
        <v>2</v>
      </c>
      <c r="I24" s="11"/>
    </row>
    <row r="25" spans="2:9">
      <c r="B25" s="11" t="s">
        <v>29</v>
      </c>
      <c r="C25" s="11" t="s">
        <v>32</v>
      </c>
      <c r="D25" s="11">
        <v>2</v>
      </c>
      <c r="E25" s="11" t="s">
        <v>8</v>
      </c>
      <c r="F25" s="11">
        <v>17</v>
      </c>
      <c r="G25" s="11">
        <v>1306</v>
      </c>
      <c r="H25" s="11">
        <v>2</v>
      </c>
      <c r="I25" s="11"/>
    </row>
    <row r="26" spans="2:9">
      <c r="B26" s="11" t="s">
        <v>29</v>
      </c>
      <c r="C26" s="11" t="s">
        <v>33</v>
      </c>
      <c r="D26" s="11">
        <v>2</v>
      </c>
      <c r="E26" s="11" t="s">
        <v>8</v>
      </c>
      <c r="F26" s="11">
        <v>17</v>
      </c>
      <c r="G26" s="11">
        <v>1310</v>
      </c>
      <c r="H26" s="11">
        <v>2</v>
      </c>
      <c r="I26" s="11"/>
    </row>
    <row r="27" spans="2:9">
      <c r="B27" s="11" t="s">
        <v>29</v>
      </c>
      <c r="C27" s="11" t="s">
        <v>34</v>
      </c>
      <c r="D27" s="11">
        <v>2</v>
      </c>
      <c r="E27" s="11" t="s">
        <v>8</v>
      </c>
      <c r="F27" s="11">
        <v>17</v>
      </c>
      <c r="G27" s="11">
        <v>1318</v>
      </c>
      <c r="H27" s="11">
        <v>2</v>
      </c>
      <c r="I27" s="11"/>
    </row>
    <row r="28" spans="2:9">
      <c r="B28" s="11" t="s">
        <v>29</v>
      </c>
      <c r="C28" s="13" t="s">
        <v>139</v>
      </c>
      <c r="D28" s="13">
        <v>2</v>
      </c>
      <c r="E28" s="13" t="s">
        <v>0</v>
      </c>
      <c r="F28" s="13">
        <v>17</v>
      </c>
      <c r="G28" s="13">
        <v>2505</v>
      </c>
      <c r="H28" s="13">
        <v>2</v>
      </c>
      <c r="I28" s="11"/>
    </row>
    <row r="29" spans="2:9">
      <c r="B29" s="11" t="s">
        <v>29</v>
      </c>
      <c r="C29" s="13" t="s">
        <v>140</v>
      </c>
      <c r="D29" s="13">
        <v>2</v>
      </c>
      <c r="E29" s="13" t="s">
        <v>0</v>
      </c>
      <c r="F29" s="13">
        <v>17</v>
      </c>
      <c r="G29" s="13">
        <v>2501</v>
      </c>
      <c r="H29" s="13">
        <v>2</v>
      </c>
      <c r="I29" s="11"/>
    </row>
    <row r="30" spans="2:9">
      <c r="B30" s="11" t="s">
        <v>29</v>
      </c>
      <c r="C30" s="11" t="s">
        <v>35</v>
      </c>
      <c r="D30" s="11">
        <v>4</v>
      </c>
      <c r="E30" s="11" t="s">
        <v>8</v>
      </c>
      <c r="F30" s="11">
        <v>25</v>
      </c>
      <c r="G30" s="11">
        <v>1217</v>
      </c>
      <c r="H30" s="11">
        <v>2</v>
      </c>
      <c r="I30" s="11"/>
    </row>
    <row r="31" spans="2:9">
      <c r="B31" s="11" t="s">
        <v>29</v>
      </c>
      <c r="C31" s="11" t="s">
        <v>36</v>
      </c>
      <c r="D31" s="11">
        <v>2</v>
      </c>
      <c r="E31" s="11" t="s">
        <v>8</v>
      </c>
      <c r="F31" s="11">
        <v>25</v>
      </c>
      <c r="G31" s="11">
        <v>1412</v>
      </c>
      <c r="H31" s="11">
        <v>3</v>
      </c>
      <c r="I31" s="11"/>
    </row>
    <row r="32" spans="2:9">
      <c r="B32" s="11" t="s">
        <v>29</v>
      </c>
      <c r="C32" s="11" t="s">
        <v>37</v>
      </c>
      <c r="D32" s="11">
        <v>4</v>
      </c>
      <c r="E32" s="11" t="s">
        <v>8</v>
      </c>
      <c r="F32" s="11">
        <v>25</v>
      </c>
      <c r="G32" s="11">
        <v>1216</v>
      </c>
      <c r="H32" s="11">
        <v>2</v>
      </c>
      <c r="I32" s="11"/>
    </row>
    <row r="33" spans="2:9">
      <c r="B33" s="11" t="s">
        <v>29</v>
      </c>
      <c r="C33" s="11" t="s">
        <v>38</v>
      </c>
      <c r="D33" s="11">
        <v>4</v>
      </c>
      <c r="E33" s="11" t="s">
        <v>8</v>
      </c>
      <c r="F33" s="11">
        <v>25</v>
      </c>
      <c r="G33" s="11">
        <v>1207</v>
      </c>
      <c r="H33" s="11">
        <v>2</v>
      </c>
      <c r="I33" s="11"/>
    </row>
    <row r="34" spans="2:9">
      <c r="B34" s="11" t="s">
        <v>29</v>
      </c>
      <c r="C34" s="11" t="s">
        <v>39</v>
      </c>
      <c r="D34" s="11">
        <v>3</v>
      </c>
      <c r="E34" s="11" t="s">
        <v>8</v>
      </c>
      <c r="F34" s="11">
        <v>25</v>
      </c>
      <c r="G34" s="11">
        <v>1204</v>
      </c>
      <c r="H34" s="11">
        <v>2</v>
      </c>
      <c r="I34" s="11"/>
    </row>
    <row r="35" spans="2:9">
      <c r="B35" s="11" t="s">
        <v>29</v>
      </c>
      <c r="C35" s="11" t="s">
        <v>40</v>
      </c>
      <c r="D35" s="11">
        <v>4</v>
      </c>
      <c r="E35" s="11" t="s">
        <v>8</v>
      </c>
      <c r="F35" s="11">
        <v>25</v>
      </c>
      <c r="G35" s="11">
        <v>1212</v>
      </c>
      <c r="H35" s="11">
        <v>2</v>
      </c>
      <c r="I35" s="11"/>
    </row>
    <row r="36" spans="2:9">
      <c r="B36" s="11" t="s">
        <v>29</v>
      </c>
      <c r="C36" s="11" t="s">
        <v>41</v>
      </c>
      <c r="D36" s="11">
        <v>3</v>
      </c>
      <c r="E36" s="11" t="s">
        <v>8</v>
      </c>
      <c r="F36" s="11">
        <v>25</v>
      </c>
      <c r="G36" s="11">
        <v>1307</v>
      </c>
      <c r="H36" s="11">
        <v>3</v>
      </c>
      <c r="I36" s="11"/>
    </row>
    <row r="37" spans="2:9">
      <c r="B37" s="11" t="s">
        <v>29</v>
      </c>
      <c r="C37" s="11" t="s">
        <v>42</v>
      </c>
      <c r="D37" s="11">
        <v>4</v>
      </c>
      <c r="E37" s="11" t="s">
        <v>8</v>
      </c>
      <c r="F37" s="11">
        <v>25</v>
      </c>
      <c r="G37" s="11">
        <v>1308</v>
      </c>
      <c r="H37" s="11">
        <v>3</v>
      </c>
      <c r="I37" s="11"/>
    </row>
    <row r="38" spans="2:9">
      <c r="B38" s="11" t="s">
        <v>29</v>
      </c>
      <c r="C38" s="11" t="s">
        <v>43</v>
      </c>
      <c r="D38" s="11">
        <v>2</v>
      </c>
      <c r="E38" s="11" t="s">
        <v>0</v>
      </c>
      <c r="F38" s="11">
        <v>17</v>
      </c>
      <c r="G38" s="11">
        <v>2206</v>
      </c>
      <c r="H38" s="11">
        <v>2</v>
      </c>
      <c r="I38" s="11"/>
    </row>
    <row r="39" spans="2:9">
      <c r="B39" s="11" t="s">
        <v>29</v>
      </c>
      <c r="C39" s="11" t="s">
        <v>44</v>
      </c>
      <c r="D39" s="11">
        <v>2</v>
      </c>
      <c r="E39" s="11" t="s">
        <v>0</v>
      </c>
      <c r="F39" s="11">
        <v>17</v>
      </c>
      <c r="G39" s="11">
        <v>2107</v>
      </c>
      <c r="H39" s="11">
        <v>2</v>
      </c>
      <c r="I39" s="11"/>
    </row>
    <row r="40" spans="2:9">
      <c r="B40" s="11" t="s">
        <v>29</v>
      </c>
      <c r="C40" s="11" t="s">
        <v>45</v>
      </c>
      <c r="D40" s="11">
        <v>2</v>
      </c>
      <c r="E40" s="11" t="s">
        <v>0</v>
      </c>
      <c r="F40" s="11">
        <v>17</v>
      </c>
      <c r="G40" s="11">
        <v>2208</v>
      </c>
      <c r="H40" s="11">
        <v>2</v>
      </c>
      <c r="I40" s="11"/>
    </row>
    <row r="41" spans="2:9">
      <c r="B41" s="11" t="s">
        <v>29</v>
      </c>
      <c r="C41" s="11" t="s">
        <v>46</v>
      </c>
      <c r="D41" s="11">
        <v>2</v>
      </c>
      <c r="E41" s="11" t="s">
        <v>0</v>
      </c>
      <c r="F41" s="11">
        <v>17</v>
      </c>
      <c r="G41" s="11">
        <v>2207</v>
      </c>
      <c r="H41" s="11">
        <v>2</v>
      </c>
      <c r="I41" s="11"/>
    </row>
    <row r="42" spans="2:9">
      <c r="B42" s="11" t="s">
        <v>29</v>
      </c>
      <c r="C42" s="11" t="s">
        <v>47</v>
      </c>
      <c r="D42" s="11">
        <v>2</v>
      </c>
      <c r="E42" s="11" t="s">
        <v>0</v>
      </c>
      <c r="F42" s="11">
        <v>17</v>
      </c>
      <c r="G42" s="11">
        <v>2201</v>
      </c>
      <c r="H42" s="11">
        <v>2</v>
      </c>
      <c r="I42" s="11"/>
    </row>
    <row r="43" spans="2:9">
      <c r="B43" s="11" t="s">
        <v>29</v>
      </c>
      <c r="C43" s="11" t="s">
        <v>48</v>
      </c>
      <c r="D43" s="11">
        <v>2</v>
      </c>
      <c r="E43" s="11" t="s">
        <v>0</v>
      </c>
      <c r="F43" s="11">
        <v>17</v>
      </c>
      <c r="G43" s="11">
        <v>2202</v>
      </c>
      <c r="H43" s="11">
        <v>2</v>
      </c>
      <c r="I43" s="11"/>
    </row>
    <row r="44" spans="2:9">
      <c r="B44" s="11" t="s">
        <v>29</v>
      </c>
      <c r="C44" s="11" t="s">
        <v>49</v>
      </c>
      <c r="D44" s="11">
        <v>4</v>
      </c>
      <c r="E44" s="11" t="s">
        <v>0</v>
      </c>
      <c r="F44" s="11">
        <v>25</v>
      </c>
      <c r="G44" s="11">
        <v>2209</v>
      </c>
      <c r="H44" s="11">
        <v>2</v>
      </c>
      <c r="I44" s="11"/>
    </row>
    <row r="45" spans="2:9">
      <c r="B45" s="11" t="s">
        <v>29</v>
      </c>
      <c r="C45" s="11" t="s">
        <v>50</v>
      </c>
      <c r="D45" s="11">
        <v>4</v>
      </c>
      <c r="E45" s="11" t="s">
        <v>0</v>
      </c>
      <c r="F45" s="11">
        <v>25</v>
      </c>
      <c r="G45" s="11">
        <v>2204</v>
      </c>
      <c r="H45" s="11">
        <v>2</v>
      </c>
      <c r="I45" s="11"/>
    </row>
    <row r="46" spans="2:9">
      <c r="B46" s="11" t="s">
        <v>29</v>
      </c>
      <c r="C46" s="11" t="s">
        <v>141</v>
      </c>
      <c r="D46" s="11">
        <v>3</v>
      </c>
      <c r="E46" s="11" t="s">
        <v>0</v>
      </c>
      <c r="F46" s="11">
        <v>25</v>
      </c>
      <c r="G46" s="11">
        <v>2203</v>
      </c>
      <c r="H46" s="11">
        <v>2</v>
      </c>
      <c r="I46" s="11"/>
    </row>
    <row r="47" spans="2:9">
      <c r="B47" s="11" t="s">
        <v>51</v>
      </c>
      <c r="C47" s="11" t="s">
        <v>52</v>
      </c>
      <c r="D47" s="11">
        <v>2</v>
      </c>
      <c r="E47" s="11" t="s">
        <v>8</v>
      </c>
      <c r="F47" s="11">
        <v>17</v>
      </c>
      <c r="G47" s="11">
        <v>1401</v>
      </c>
      <c r="H47" s="11">
        <v>2</v>
      </c>
      <c r="I47" s="11"/>
    </row>
    <row r="48" spans="2:9">
      <c r="B48" s="11" t="s">
        <v>51</v>
      </c>
      <c r="C48" s="11" t="s">
        <v>53</v>
      </c>
      <c r="D48" s="11">
        <v>2</v>
      </c>
      <c r="E48" s="11" t="s">
        <v>8</v>
      </c>
      <c r="F48" s="11">
        <v>17</v>
      </c>
      <c r="G48" s="11">
        <v>1408</v>
      </c>
      <c r="H48" s="11">
        <v>2</v>
      </c>
      <c r="I48" s="11"/>
    </row>
    <row r="49" spans="2:9">
      <c r="B49" s="11" t="s">
        <v>51</v>
      </c>
      <c r="C49" s="11" t="s">
        <v>54</v>
      </c>
      <c r="D49" s="11">
        <v>2</v>
      </c>
      <c r="E49" s="11" t="s">
        <v>8</v>
      </c>
      <c r="F49" s="11">
        <v>17</v>
      </c>
      <c r="G49" s="11">
        <v>1311</v>
      </c>
      <c r="H49" s="11">
        <v>2</v>
      </c>
      <c r="I49" s="11"/>
    </row>
    <row r="50" spans="2:9">
      <c r="B50" s="11" t="s">
        <v>51</v>
      </c>
      <c r="C50" s="11" t="s">
        <v>55</v>
      </c>
      <c r="D50" s="11">
        <v>2</v>
      </c>
      <c r="E50" s="11" t="s">
        <v>8</v>
      </c>
      <c r="F50" s="11">
        <v>17</v>
      </c>
      <c r="G50" s="11">
        <v>1409</v>
      </c>
      <c r="H50" s="11">
        <v>2</v>
      </c>
      <c r="I50" s="11"/>
    </row>
    <row r="51" spans="2:9">
      <c r="B51" s="11" t="s">
        <v>51</v>
      </c>
      <c r="C51" s="11" t="s">
        <v>56</v>
      </c>
      <c r="D51" s="11">
        <v>2</v>
      </c>
      <c r="E51" s="11" t="s">
        <v>8</v>
      </c>
      <c r="F51" s="11">
        <v>17</v>
      </c>
      <c r="G51" s="11">
        <v>1407</v>
      </c>
      <c r="H51" s="11">
        <v>2</v>
      </c>
      <c r="I51" s="11"/>
    </row>
    <row r="52" spans="2:9">
      <c r="B52" s="11" t="s">
        <v>51</v>
      </c>
      <c r="C52" s="11" t="s">
        <v>57</v>
      </c>
      <c r="D52" s="11">
        <v>2</v>
      </c>
      <c r="E52" s="11" t="s">
        <v>8</v>
      </c>
      <c r="F52" s="11">
        <v>17</v>
      </c>
      <c r="G52" s="11">
        <v>1315</v>
      </c>
      <c r="H52" s="11">
        <v>2</v>
      </c>
      <c r="I52" s="11"/>
    </row>
    <row r="53" spans="2:9">
      <c r="B53" s="11" t="s">
        <v>51</v>
      </c>
      <c r="C53" s="11" t="s">
        <v>58</v>
      </c>
      <c r="D53" s="11">
        <v>2</v>
      </c>
      <c r="E53" s="11" t="s">
        <v>0</v>
      </c>
      <c r="F53" s="11">
        <v>17</v>
      </c>
      <c r="G53" s="11">
        <v>2308</v>
      </c>
      <c r="H53" s="11">
        <v>2</v>
      </c>
      <c r="I53" s="11"/>
    </row>
    <row r="54" spans="2:9">
      <c r="B54" s="11" t="s">
        <v>51</v>
      </c>
      <c r="C54" s="11" t="s">
        <v>59</v>
      </c>
      <c r="D54" s="11">
        <v>2</v>
      </c>
      <c r="E54" s="11" t="s">
        <v>0</v>
      </c>
      <c r="F54" s="11">
        <v>17</v>
      </c>
      <c r="G54" s="11">
        <v>2205</v>
      </c>
      <c r="H54" s="11">
        <v>2</v>
      </c>
      <c r="I54" s="11"/>
    </row>
    <row r="55" spans="2:9">
      <c r="B55" s="11" t="s">
        <v>51</v>
      </c>
      <c r="C55" s="11" t="s">
        <v>60</v>
      </c>
      <c r="D55" s="11">
        <v>5</v>
      </c>
      <c r="E55" s="11" t="s">
        <v>0</v>
      </c>
      <c r="F55" s="11">
        <v>17</v>
      </c>
      <c r="G55" s="11">
        <v>2305</v>
      </c>
      <c r="H55" s="11">
        <v>2</v>
      </c>
      <c r="I55" s="11"/>
    </row>
    <row r="56" spans="2:9">
      <c r="B56" s="11" t="s">
        <v>51</v>
      </c>
      <c r="C56" s="11" t="s">
        <v>61</v>
      </c>
      <c r="D56" s="11">
        <v>4</v>
      </c>
      <c r="E56" s="11" t="s">
        <v>0</v>
      </c>
      <c r="F56" s="11">
        <v>17</v>
      </c>
      <c r="G56" s="11">
        <v>2306</v>
      </c>
      <c r="H56" s="11">
        <v>2</v>
      </c>
      <c r="I56" s="11"/>
    </row>
    <row r="57" spans="2:9">
      <c r="B57" s="11" t="s">
        <v>51</v>
      </c>
      <c r="C57" s="11" t="s">
        <v>62</v>
      </c>
      <c r="D57" s="11">
        <v>5</v>
      </c>
      <c r="E57" s="11" t="s">
        <v>0</v>
      </c>
      <c r="F57" s="11">
        <v>17</v>
      </c>
      <c r="G57" s="11">
        <v>2307</v>
      </c>
      <c r="H57" s="11">
        <v>2</v>
      </c>
      <c r="I57" s="11"/>
    </row>
    <row r="58" spans="2:9">
      <c r="B58" s="11" t="s">
        <v>51</v>
      </c>
      <c r="C58" s="11" t="s">
        <v>136</v>
      </c>
      <c r="D58" s="11">
        <v>3</v>
      </c>
      <c r="E58" s="11" t="s">
        <v>8</v>
      </c>
      <c r="F58" s="11">
        <v>25</v>
      </c>
      <c r="G58" s="11">
        <v>1304</v>
      </c>
      <c r="H58" s="11">
        <v>2</v>
      </c>
      <c r="I58" s="11"/>
    </row>
    <row r="59" spans="2:9">
      <c r="B59" s="11" t="s">
        <v>51</v>
      </c>
      <c r="C59" s="11" t="s">
        <v>63</v>
      </c>
      <c r="D59" s="11">
        <v>3</v>
      </c>
      <c r="E59" s="11" t="s">
        <v>8</v>
      </c>
      <c r="F59" s="11">
        <v>25</v>
      </c>
      <c r="G59" s="11">
        <v>1303</v>
      </c>
      <c r="H59" s="11">
        <v>2</v>
      </c>
      <c r="I59" s="11"/>
    </row>
    <row r="60" spans="2:9">
      <c r="B60" s="11" t="s">
        <v>51</v>
      </c>
      <c r="C60" s="11" t="s">
        <v>64</v>
      </c>
      <c r="D60" s="11">
        <v>2</v>
      </c>
      <c r="E60" s="11" t="s">
        <v>8</v>
      </c>
      <c r="F60" s="11">
        <v>25</v>
      </c>
      <c r="G60" s="11">
        <v>1213</v>
      </c>
      <c r="H60" s="11">
        <v>2</v>
      </c>
      <c r="I60" s="11"/>
    </row>
    <row r="61" spans="2:9">
      <c r="B61" s="11" t="s">
        <v>51</v>
      </c>
      <c r="C61" s="11" t="s">
        <v>65</v>
      </c>
      <c r="D61" s="11">
        <v>4</v>
      </c>
      <c r="E61" s="11" t="s">
        <v>8</v>
      </c>
      <c r="F61" s="11">
        <v>25</v>
      </c>
      <c r="G61" s="11">
        <v>1317</v>
      </c>
      <c r="H61" s="11">
        <v>2</v>
      </c>
      <c r="I61" s="11"/>
    </row>
    <row r="62" spans="2:9">
      <c r="B62" s="11" t="s">
        <v>51</v>
      </c>
      <c r="C62" s="11" t="s">
        <v>66</v>
      </c>
      <c r="D62" s="11">
        <v>3</v>
      </c>
      <c r="E62" s="11" t="s">
        <v>8</v>
      </c>
      <c r="F62" s="11">
        <v>25</v>
      </c>
      <c r="G62" s="11">
        <v>1316</v>
      </c>
      <c r="H62" s="11">
        <v>2</v>
      </c>
      <c r="I62" s="11"/>
    </row>
    <row r="63" spans="2:9">
      <c r="B63" s="11" t="s">
        <v>51</v>
      </c>
      <c r="C63" s="11" t="s">
        <v>67</v>
      </c>
      <c r="D63" s="11">
        <v>4</v>
      </c>
      <c r="E63" s="11" t="s">
        <v>8</v>
      </c>
      <c r="F63" s="11">
        <v>25</v>
      </c>
      <c r="G63" s="11">
        <v>1312</v>
      </c>
      <c r="H63" s="11">
        <v>3</v>
      </c>
      <c r="I63" s="11"/>
    </row>
    <row r="64" spans="2:9">
      <c r="B64" s="11" t="s">
        <v>51</v>
      </c>
      <c r="C64" s="11" t="s">
        <v>68</v>
      </c>
      <c r="D64" s="11">
        <v>4</v>
      </c>
      <c r="E64" s="11" t="s">
        <v>8</v>
      </c>
      <c r="F64" s="11">
        <v>25</v>
      </c>
      <c r="G64" s="11">
        <v>1313</v>
      </c>
      <c r="H64" s="11">
        <v>2</v>
      </c>
      <c r="I64" s="11"/>
    </row>
    <row r="65" spans="2:9">
      <c r="B65" s="11" t="s">
        <v>51</v>
      </c>
      <c r="C65" s="11" t="s">
        <v>69</v>
      </c>
      <c r="D65" s="11">
        <v>3</v>
      </c>
      <c r="E65" s="11" t="s">
        <v>0</v>
      </c>
      <c r="F65" s="11">
        <v>25</v>
      </c>
      <c r="G65" s="11">
        <v>2304</v>
      </c>
      <c r="H65" s="11">
        <v>2</v>
      </c>
      <c r="I65" s="11"/>
    </row>
    <row r="66" spans="2:9">
      <c r="B66" s="11" t="s">
        <v>51</v>
      </c>
      <c r="C66" s="11" t="s">
        <v>147</v>
      </c>
      <c r="D66" s="11">
        <v>3</v>
      </c>
      <c r="E66" s="11" t="s">
        <v>0</v>
      </c>
      <c r="F66" s="11">
        <v>25</v>
      </c>
      <c r="G66" s="11">
        <v>2507</v>
      </c>
      <c r="H66" s="11">
        <v>1</v>
      </c>
      <c r="I66" s="11"/>
    </row>
    <row r="67" spans="2:9">
      <c r="B67" s="11" t="s">
        <v>51</v>
      </c>
      <c r="C67" s="11" t="s">
        <v>148</v>
      </c>
      <c r="D67" s="11">
        <v>3</v>
      </c>
      <c r="E67" s="11" t="s">
        <v>0</v>
      </c>
      <c r="F67" s="11">
        <v>17</v>
      </c>
      <c r="G67" s="11">
        <v>2605</v>
      </c>
      <c r="H67" s="11">
        <v>2</v>
      </c>
      <c r="I67" s="11"/>
    </row>
    <row r="68" spans="2:9">
      <c r="B68" s="11" t="s">
        <v>71</v>
      </c>
      <c r="C68" s="11" t="s">
        <v>72</v>
      </c>
      <c r="D68" s="11">
        <v>3</v>
      </c>
      <c r="E68" s="11" t="s">
        <v>8</v>
      </c>
      <c r="F68" s="11">
        <v>17</v>
      </c>
      <c r="G68" s="11">
        <v>1514</v>
      </c>
      <c r="H68" s="11">
        <v>2</v>
      </c>
      <c r="I68" s="11"/>
    </row>
    <row r="69" spans="2:9">
      <c r="B69" s="11" t="s">
        <v>71</v>
      </c>
      <c r="C69" s="11" t="s">
        <v>73</v>
      </c>
      <c r="D69" s="11">
        <v>2</v>
      </c>
      <c r="E69" s="11" t="s">
        <v>8</v>
      </c>
      <c r="F69" s="11">
        <v>17</v>
      </c>
      <c r="G69" s="11">
        <v>1305</v>
      </c>
      <c r="H69" s="11">
        <v>3</v>
      </c>
      <c r="I69" s="11"/>
    </row>
    <row r="70" spans="2:9">
      <c r="B70" s="11" t="s">
        <v>71</v>
      </c>
      <c r="C70" s="11" t="s">
        <v>74</v>
      </c>
      <c r="D70" s="11">
        <v>2</v>
      </c>
      <c r="E70" s="11" t="s">
        <v>8</v>
      </c>
      <c r="F70" s="11">
        <v>17</v>
      </c>
      <c r="G70" s="11">
        <v>1414</v>
      </c>
      <c r="H70" s="11">
        <v>2</v>
      </c>
      <c r="I70" s="11"/>
    </row>
    <row r="71" spans="2:9">
      <c r="B71" s="11" t="s">
        <v>71</v>
      </c>
      <c r="C71" s="11" t="s">
        <v>75</v>
      </c>
      <c r="D71" s="11">
        <v>2</v>
      </c>
      <c r="E71" s="11" t="s">
        <v>8</v>
      </c>
      <c r="F71" s="11">
        <v>17</v>
      </c>
      <c r="G71" s="11">
        <v>1402</v>
      </c>
      <c r="H71" s="11">
        <v>2</v>
      </c>
      <c r="I71" s="11"/>
    </row>
    <row r="72" spans="2:9">
      <c r="B72" s="11" t="s">
        <v>71</v>
      </c>
      <c r="C72" s="11" t="s">
        <v>76</v>
      </c>
      <c r="D72" s="11">
        <v>2</v>
      </c>
      <c r="E72" s="11" t="s">
        <v>8</v>
      </c>
      <c r="F72" s="11">
        <v>17</v>
      </c>
      <c r="G72" s="11">
        <v>1505</v>
      </c>
      <c r="H72" s="11">
        <v>2</v>
      </c>
      <c r="I72" s="11"/>
    </row>
    <row r="73" spans="2:9">
      <c r="B73" s="11" t="s">
        <v>71</v>
      </c>
      <c r="C73" s="11" t="s">
        <v>77</v>
      </c>
      <c r="D73" s="11">
        <v>1</v>
      </c>
      <c r="E73" s="11" t="s">
        <v>8</v>
      </c>
      <c r="F73" s="11">
        <v>17</v>
      </c>
      <c r="G73" s="11">
        <v>1314</v>
      </c>
      <c r="H73" s="11">
        <v>2</v>
      </c>
      <c r="I73" s="11"/>
    </row>
    <row r="74" spans="2:9">
      <c r="B74" s="11" t="s">
        <v>71</v>
      </c>
      <c r="C74" s="11" t="s">
        <v>78</v>
      </c>
      <c r="D74" s="11">
        <v>4</v>
      </c>
      <c r="E74" s="11" t="s">
        <v>8</v>
      </c>
      <c r="F74" s="11">
        <v>25</v>
      </c>
      <c r="G74" s="11">
        <v>1405</v>
      </c>
      <c r="H74" s="11">
        <v>2</v>
      </c>
      <c r="I74" s="11"/>
    </row>
    <row r="75" spans="2:9">
      <c r="B75" s="11" t="s">
        <v>71</v>
      </c>
      <c r="C75" s="11" t="s">
        <v>79</v>
      </c>
      <c r="D75" s="11">
        <v>4</v>
      </c>
      <c r="E75" s="11" t="s">
        <v>8</v>
      </c>
      <c r="F75" s="11">
        <v>25</v>
      </c>
      <c r="G75" s="11">
        <v>1413</v>
      </c>
      <c r="H75" s="11">
        <v>2</v>
      </c>
      <c r="I75" s="11"/>
    </row>
    <row r="76" spans="2:9">
      <c r="B76" s="11" t="s">
        <v>71</v>
      </c>
      <c r="C76" s="11" t="s">
        <v>80</v>
      </c>
      <c r="D76" s="11">
        <v>4</v>
      </c>
      <c r="E76" s="11" t="s">
        <v>8</v>
      </c>
      <c r="F76" s="11">
        <v>25</v>
      </c>
      <c r="G76" s="11">
        <v>1404</v>
      </c>
      <c r="H76" s="11">
        <v>2</v>
      </c>
      <c r="I76" s="11"/>
    </row>
    <row r="77" spans="2:9">
      <c r="B77" s="11" t="s">
        <v>71</v>
      </c>
      <c r="C77" s="11" t="s">
        <v>81</v>
      </c>
      <c r="D77" s="11">
        <v>4</v>
      </c>
      <c r="E77" s="11" t="s">
        <v>0</v>
      </c>
      <c r="F77" s="11">
        <v>25</v>
      </c>
      <c r="G77" s="11">
        <v>2309</v>
      </c>
      <c r="H77" s="11">
        <v>2</v>
      </c>
      <c r="I77" s="11"/>
    </row>
    <row r="78" spans="2:9">
      <c r="B78" s="11" t="s">
        <v>71</v>
      </c>
      <c r="C78" s="11" t="s">
        <v>82</v>
      </c>
      <c r="D78" s="11">
        <v>2</v>
      </c>
      <c r="E78" s="11" t="s">
        <v>8</v>
      </c>
      <c r="F78" s="11">
        <v>17</v>
      </c>
      <c r="G78" s="11">
        <v>1507</v>
      </c>
      <c r="H78" s="11">
        <v>2</v>
      </c>
      <c r="I78" s="11"/>
    </row>
    <row r="79" spans="2:9">
      <c r="B79" s="11" t="s">
        <v>83</v>
      </c>
      <c r="C79" s="11" t="s">
        <v>84</v>
      </c>
      <c r="D79" s="11">
        <v>2</v>
      </c>
      <c r="E79" s="11" t="s">
        <v>8</v>
      </c>
      <c r="F79" s="11">
        <v>17</v>
      </c>
      <c r="G79" s="11">
        <v>1502</v>
      </c>
      <c r="H79" s="11">
        <v>2</v>
      </c>
      <c r="I79" s="11"/>
    </row>
    <row r="80" spans="2:9">
      <c r="B80" s="11" t="s">
        <v>83</v>
      </c>
      <c r="C80" s="11" t="s">
        <v>85</v>
      </c>
      <c r="D80" s="11">
        <v>2</v>
      </c>
      <c r="E80" s="11" t="s">
        <v>8</v>
      </c>
      <c r="F80" s="11">
        <v>17</v>
      </c>
      <c r="G80" s="11">
        <v>1501</v>
      </c>
      <c r="H80" s="11">
        <v>2</v>
      </c>
      <c r="I80" s="11"/>
    </row>
    <row r="81" spans="2:9">
      <c r="B81" s="11" t="s">
        <v>83</v>
      </c>
      <c r="C81" s="11" t="s">
        <v>86</v>
      </c>
      <c r="D81" s="11">
        <v>2</v>
      </c>
      <c r="E81" s="11" t="s">
        <v>0</v>
      </c>
      <c r="F81" s="11">
        <v>17</v>
      </c>
      <c r="G81" s="11">
        <v>2301</v>
      </c>
      <c r="H81" s="11">
        <v>2</v>
      </c>
      <c r="I81" s="11"/>
    </row>
    <row r="82" spans="2:9">
      <c r="B82" s="11" t="s">
        <v>83</v>
      </c>
      <c r="C82" s="11" t="s">
        <v>87</v>
      </c>
      <c r="D82" s="11">
        <v>4</v>
      </c>
      <c r="E82" s="11" t="s">
        <v>8</v>
      </c>
      <c r="F82" s="11">
        <v>25</v>
      </c>
      <c r="G82" s="11">
        <v>1406</v>
      </c>
      <c r="H82" s="11">
        <v>2</v>
      </c>
      <c r="I82" s="11"/>
    </row>
    <row r="83" spans="2:9">
      <c r="B83" s="11" t="s">
        <v>83</v>
      </c>
      <c r="C83" s="11" t="s">
        <v>88</v>
      </c>
      <c r="D83" s="11">
        <v>4</v>
      </c>
      <c r="E83" s="11" t="s">
        <v>0</v>
      </c>
      <c r="F83" s="11">
        <v>25</v>
      </c>
      <c r="G83" s="11">
        <v>2310</v>
      </c>
      <c r="H83" s="11">
        <v>2</v>
      </c>
      <c r="I83" s="11"/>
    </row>
    <row r="84" spans="2:9">
      <c r="B84" s="11" t="s">
        <v>89</v>
      </c>
      <c r="C84" s="11" t="s">
        <v>90</v>
      </c>
      <c r="D84" s="11">
        <v>2</v>
      </c>
      <c r="E84" s="11" t="s">
        <v>8</v>
      </c>
      <c r="F84" s="11">
        <v>17</v>
      </c>
      <c r="G84" s="11">
        <v>1508</v>
      </c>
      <c r="H84" s="11">
        <v>2</v>
      </c>
      <c r="I84" s="11"/>
    </row>
    <row r="85" spans="2:9">
      <c r="B85" s="11" t="s">
        <v>89</v>
      </c>
      <c r="C85" s="11" t="s">
        <v>91</v>
      </c>
      <c r="D85" s="11">
        <v>2</v>
      </c>
      <c r="E85" s="11" t="s">
        <v>8</v>
      </c>
      <c r="F85" s="11">
        <v>17</v>
      </c>
      <c r="G85" s="11">
        <v>1509</v>
      </c>
      <c r="H85" s="11">
        <v>2</v>
      </c>
      <c r="I85" s="11"/>
    </row>
    <row r="86" spans="2:9">
      <c r="B86" s="11" t="s">
        <v>89</v>
      </c>
      <c r="C86" s="11" t="s">
        <v>92</v>
      </c>
      <c r="D86" s="11">
        <v>4</v>
      </c>
      <c r="E86" s="11" t="s">
        <v>8</v>
      </c>
      <c r="F86" s="11">
        <v>17</v>
      </c>
      <c r="G86" s="11">
        <v>2505</v>
      </c>
      <c r="H86" s="11">
        <v>2</v>
      </c>
      <c r="I86" s="11"/>
    </row>
    <row r="87" spans="2:9">
      <c r="B87" s="11" t="s">
        <v>89</v>
      </c>
      <c r="C87" s="11" t="s">
        <v>93</v>
      </c>
      <c r="D87" s="11">
        <v>3</v>
      </c>
      <c r="E87" s="11" t="s">
        <v>0</v>
      </c>
      <c r="F87" s="11">
        <v>17</v>
      </c>
      <c r="G87" s="11">
        <v>2302</v>
      </c>
      <c r="H87" s="11">
        <v>2</v>
      </c>
      <c r="I87" s="11"/>
    </row>
    <row r="88" spans="2:9">
      <c r="B88" s="11" t="s">
        <v>89</v>
      </c>
      <c r="C88" s="11" t="s">
        <v>94</v>
      </c>
      <c r="D88" s="11">
        <v>5</v>
      </c>
      <c r="E88" s="11" t="s">
        <v>0</v>
      </c>
      <c r="F88" s="11">
        <v>17</v>
      </c>
      <c r="G88" s="11">
        <v>2405</v>
      </c>
      <c r="H88" s="11">
        <v>2</v>
      </c>
      <c r="I88" s="11"/>
    </row>
    <row r="89" spans="2:9">
      <c r="B89" s="11" t="s">
        <v>89</v>
      </c>
      <c r="C89" s="11" t="s">
        <v>95</v>
      </c>
      <c r="D89" s="11">
        <v>4</v>
      </c>
      <c r="E89" s="11" t="s">
        <v>8</v>
      </c>
      <c r="F89" s="11">
        <v>25</v>
      </c>
      <c r="G89" s="11">
        <v>1403</v>
      </c>
      <c r="H89" s="11">
        <v>2</v>
      </c>
      <c r="I89" s="11"/>
    </row>
    <row r="90" spans="2:9">
      <c r="B90" s="11" t="s">
        <v>89</v>
      </c>
      <c r="C90" s="11" t="s">
        <v>96</v>
      </c>
      <c r="D90" s="11">
        <v>4</v>
      </c>
      <c r="E90" s="11" t="s">
        <v>8</v>
      </c>
      <c r="F90" s="11">
        <v>25</v>
      </c>
      <c r="G90" s="11">
        <v>1410</v>
      </c>
      <c r="H90" s="11">
        <v>2</v>
      </c>
      <c r="I90" s="11"/>
    </row>
    <row r="91" spans="2:9">
      <c r="B91" s="11" t="s">
        <v>89</v>
      </c>
      <c r="C91" s="11" t="s">
        <v>97</v>
      </c>
      <c r="D91" s="11">
        <v>3</v>
      </c>
      <c r="E91" s="11" t="s">
        <v>0</v>
      </c>
      <c r="F91" s="11">
        <v>25</v>
      </c>
      <c r="G91" s="11">
        <v>2303</v>
      </c>
      <c r="H91" s="11">
        <v>2</v>
      </c>
      <c r="I91" s="11"/>
    </row>
    <row r="92" spans="2:9">
      <c r="B92" s="11" t="s">
        <v>98</v>
      </c>
      <c r="C92" s="11" t="s">
        <v>99</v>
      </c>
      <c r="D92" s="11">
        <v>2</v>
      </c>
      <c r="E92" s="11" t="s">
        <v>8</v>
      </c>
      <c r="F92" s="11">
        <v>17</v>
      </c>
      <c r="G92" s="11">
        <v>1605</v>
      </c>
      <c r="H92" s="11">
        <v>2</v>
      </c>
      <c r="I92" s="11"/>
    </row>
    <row r="93" spans="2:9">
      <c r="B93" s="11" t="s">
        <v>98</v>
      </c>
      <c r="C93" s="11" t="s">
        <v>100</v>
      </c>
      <c r="D93" s="11">
        <v>2</v>
      </c>
      <c r="E93" s="11" t="s">
        <v>8</v>
      </c>
      <c r="F93" s="11">
        <v>17</v>
      </c>
      <c r="G93" s="11">
        <v>1610</v>
      </c>
      <c r="H93" s="11">
        <v>2</v>
      </c>
      <c r="I93" s="11"/>
    </row>
    <row r="94" spans="2:9">
      <c r="B94" s="11" t="s">
        <v>98</v>
      </c>
      <c r="C94" s="11" t="s">
        <v>101</v>
      </c>
      <c r="D94" s="11">
        <v>2</v>
      </c>
      <c r="E94" s="11" t="s">
        <v>8</v>
      </c>
      <c r="F94" s="11">
        <v>17</v>
      </c>
      <c r="G94" s="11">
        <v>1302</v>
      </c>
      <c r="H94" s="11">
        <v>3</v>
      </c>
      <c r="I94" s="11"/>
    </row>
    <row r="95" spans="2:9">
      <c r="B95" s="11" t="s">
        <v>98</v>
      </c>
      <c r="C95" s="11" t="s">
        <v>109</v>
      </c>
      <c r="D95" s="11">
        <v>2</v>
      </c>
      <c r="E95" s="11" t="s">
        <v>8</v>
      </c>
      <c r="F95" s="11">
        <v>17</v>
      </c>
      <c r="G95" s="11">
        <v>1601</v>
      </c>
      <c r="H95" s="11">
        <v>2</v>
      </c>
      <c r="I95" s="11"/>
    </row>
    <row r="96" spans="2:9">
      <c r="B96" s="11" t="s">
        <v>98</v>
      </c>
      <c r="C96" s="11" t="s">
        <v>102</v>
      </c>
      <c r="D96" s="11">
        <v>2</v>
      </c>
      <c r="E96" s="11" t="s">
        <v>8</v>
      </c>
      <c r="F96" s="11">
        <v>17</v>
      </c>
      <c r="G96" s="11">
        <v>1607</v>
      </c>
      <c r="H96" s="11">
        <v>2</v>
      </c>
      <c r="I96" s="11"/>
    </row>
    <row r="97" spans="2:9">
      <c r="B97" s="11" t="s">
        <v>98</v>
      </c>
      <c r="C97" s="11" t="s">
        <v>143</v>
      </c>
      <c r="D97" s="11">
        <v>3</v>
      </c>
      <c r="E97" s="11" t="s">
        <v>8</v>
      </c>
      <c r="F97" s="11">
        <v>25</v>
      </c>
      <c r="G97" s="11">
        <v>1411</v>
      </c>
      <c r="H97" s="11">
        <v>2</v>
      </c>
      <c r="I97" s="11"/>
    </row>
    <row r="98" spans="2:9">
      <c r="B98" s="11" t="s">
        <v>98</v>
      </c>
      <c r="C98" s="11" t="s">
        <v>150</v>
      </c>
      <c r="D98" s="11">
        <v>3</v>
      </c>
      <c r="E98" s="11" t="s">
        <v>8</v>
      </c>
      <c r="F98" s="11">
        <v>17</v>
      </c>
      <c r="G98" s="11">
        <v>1606</v>
      </c>
      <c r="H98" s="11">
        <v>2</v>
      </c>
      <c r="I98" s="11"/>
    </row>
    <row r="99" spans="2:9">
      <c r="B99" s="11" t="s">
        <v>98</v>
      </c>
      <c r="C99" s="11" t="s">
        <v>103</v>
      </c>
      <c r="D99" s="11">
        <v>4</v>
      </c>
      <c r="E99" s="11" t="s">
        <v>8</v>
      </c>
      <c r="F99" s="11">
        <v>25</v>
      </c>
      <c r="G99" s="11">
        <v>1506</v>
      </c>
      <c r="H99" s="11">
        <v>2</v>
      </c>
      <c r="I99" s="11"/>
    </row>
    <row r="100" spans="2:9">
      <c r="B100" s="11" t="s">
        <v>98</v>
      </c>
      <c r="C100" s="11" t="s">
        <v>104</v>
      </c>
      <c r="D100" s="11">
        <v>4</v>
      </c>
      <c r="E100" s="11" t="s">
        <v>8</v>
      </c>
      <c r="F100" s="11">
        <v>25</v>
      </c>
      <c r="G100" s="11">
        <v>1513</v>
      </c>
      <c r="H100" s="11">
        <v>2</v>
      </c>
      <c r="I100" s="11"/>
    </row>
    <row r="101" spans="2:9">
      <c r="B101" s="11" t="s">
        <v>98</v>
      </c>
      <c r="C101" s="11" t="s">
        <v>105</v>
      </c>
      <c r="D101" s="11">
        <v>4</v>
      </c>
      <c r="E101" s="11" t="s">
        <v>0</v>
      </c>
      <c r="F101" s="11">
        <v>17</v>
      </c>
      <c r="G101" s="11">
        <v>2406</v>
      </c>
      <c r="H101" s="11">
        <v>2</v>
      </c>
      <c r="I101" s="11"/>
    </row>
    <row r="102" spans="2:9">
      <c r="B102" s="11" t="s">
        <v>98</v>
      </c>
      <c r="C102" s="11" t="s">
        <v>106</v>
      </c>
      <c r="D102" s="11">
        <v>4</v>
      </c>
      <c r="E102" s="11" t="s">
        <v>0</v>
      </c>
      <c r="F102" s="11">
        <v>17</v>
      </c>
      <c r="G102" s="11">
        <v>2407</v>
      </c>
      <c r="H102" s="11">
        <v>2</v>
      </c>
      <c r="I102" s="11"/>
    </row>
    <row r="103" spans="2:9">
      <c r="B103" s="11" t="s">
        <v>98</v>
      </c>
      <c r="C103" s="11" t="s">
        <v>107</v>
      </c>
      <c r="D103" s="11">
        <v>2</v>
      </c>
      <c r="E103" s="11" t="s">
        <v>0</v>
      </c>
      <c r="F103" s="11">
        <v>17</v>
      </c>
      <c r="G103" s="11">
        <v>2408</v>
      </c>
      <c r="H103" s="11">
        <v>2</v>
      </c>
      <c r="I103" s="11"/>
    </row>
    <row r="104" spans="2:9">
      <c r="B104" s="11" t="s">
        <v>98</v>
      </c>
      <c r="C104" s="11" t="s">
        <v>108</v>
      </c>
      <c r="D104" s="11">
        <v>3</v>
      </c>
      <c r="E104" s="11" t="s">
        <v>0</v>
      </c>
      <c r="F104" s="11">
        <v>25</v>
      </c>
      <c r="G104" s="11">
        <v>2404</v>
      </c>
      <c r="H104" s="11">
        <v>2</v>
      </c>
      <c r="I104" s="11"/>
    </row>
    <row r="105" spans="2:9">
      <c r="B105" s="11" t="s">
        <v>98</v>
      </c>
      <c r="C105" s="11" t="s">
        <v>145</v>
      </c>
      <c r="D105" s="11">
        <v>4</v>
      </c>
      <c r="E105" s="11" t="s">
        <v>0</v>
      </c>
      <c r="F105" s="11">
        <v>25</v>
      </c>
      <c r="G105" s="11">
        <v>2409</v>
      </c>
      <c r="H105" s="11">
        <v>2</v>
      </c>
      <c r="I105" s="11"/>
    </row>
    <row r="106" spans="2:9">
      <c r="B106" s="11" t="s">
        <v>98</v>
      </c>
      <c r="C106" s="11" t="s">
        <v>146</v>
      </c>
      <c r="D106" s="11">
        <v>4</v>
      </c>
      <c r="E106" s="11" t="s">
        <v>0</v>
      </c>
      <c r="F106" s="11">
        <v>25</v>
      </c>
      <c r="G106" s="11">
        <v>2403</v>
      </c>
      <c r="H106" s="11">
        <v>2</v>
      </c>
      <c r="I106" s="11"/>
    </row>
    <row r="107" spans="2:9">
      <c r="B107" s="11" t="s">
        <v>98</v>
      </c>
      <c r="C107" s="11" t="s">
        <v>144</v>
      </c>
      <c r="D107" s="11">
        <v>2</v>
      </c>
      <c r="E107" s="11" t="s">
        <v>0</v>
      </c>
      <c r="F107" s="11">
        <v>17</v>
      </c>
      <c r="G107" s="11">
        <v>2502</v>
      </c>
      <c r="H107" s="11">
        <v>2</v>
      </c>
      <c r="I107" s="11"/>
    </row>
    <row r="108" spans="2:9">
      <c r="B108" s="11" t="s">
        <v>110</v>
      </c>
      <c r="C108" s="11" t="s">
        <v>111</v>
      </c>
      <c r="D108" s="11">
        <v>1</v>
      </c>
      <c r="E108" s="11" t="s">
        <v>8</v>
      </c>
      <c r="F108" s="11">
        <v>17</v>
      </c>
      <c r="G108" s="11">
        <v>1602</v>
      </c>
      <c r="H108" s="11">
        <v>2</v>
      </c>
      <c r="I108" s="11"/>
    </row>
    <row r="109" spans="2:9">
      <c r="B109" s="11" t="s">
        <v>110</v>
      </c>
      <c r="C109" s="11" t="s">
        <v>112</v>
      </c>
      <c r="D109" s="11">
        <v>3</v>
      </c>
      <c r="E109" s="11" t="s">
        <v>8</v>
      </c>
      <c r="F109" s="11">
        <v>25</v>
      </c>
      <c r="G109" s="11">
        <v>1512</v>
      </c>
      <c r="H109" s="11">
        <v>2</v>
      </c>
      <c r="I109" s="11"/>
    </row>
    <row r="110" spans="2:9">
      <c r="B110" s="11" t="s">
        <v>110</v>
      </c>
      <c r="C110" s="11" t="s">
        <v>113</v>
      </c>
      <c r="D110" s="11">
        <v>5</v>
      </c>
      <c r="E110" s="11" t="s">
        <v>8</v>
      </c>
      <c r="F110" s="11">
        <v>25</v>
      </c>
      <c r="G110" s="11">
        <v>1510</v>
      </c>
      <c r="H110" s="11">
        <v>2</v>
      </c>
      <c r="I110" s="11"/>
    </row>
    <row r="111" spans="2:9">
      <c r="B111" s="11" t="s">
        <v>110</v>
      </c>
      <c r="C111" s="11" t="s">
        <v>114</v>
      </c>
      <c r="D111" s="11">
        <v>3</v>
      </c>
      <c r="E111" s="11" t="s">
        <v>0</v>
      </c>
      <c r="F111" s="11">
        <v>17</v>
      </c>
      <c r="G111" s="11">
        <v>2402</v>
      </c>
      <c r="H111" s="11">
        <v>2</v>
      </c>
      <c r="I111" s="11"/>
    </row>
    <row r="112" spans="2:9">
      <c r="B112" s="11" t="s">
        <v>110</v>
      </c>
      <c r="C112" s="11" t="s">
        <v>149</v>
      </c>
      <c r="D112" s="11">
        <v>2</v>
      </c>
      <c r="E112" s="11" t="s">
        <v>0</v>
      </c>
      <c r="F112" s="11">
        <v>17</v>
      </c>
      <c r="G112" s="11">
        <v>2401</v>
      </c>
      <c r="H112" s="11">
        <v>2</v>
      </c>
      <c r="I112" s="11"/>
    </row>
    <row r="113" spans="2:9">
      <c r="B113" s="11" t="s">
        <v>110</v>
      </c>
      <c r="C113" s="11" t="s">
        <v>115</v>
      </c>
      <c r="D113" s="11">
        <v>3</v>
      </c>
      <c r="E113" s="11" t="s">
        <v>8</v>
      </c>
      <c r="F113" s="11">
        <v>25</v>
      </c>
      <c r="G113" s="11">
        <v>1504</v>
      </c>
      <c r="H113" s="11">
        <v>2</v>
      </c>
      <c r="I113" s="11"/>
    </row>
    <row r="114" spans="2:9">
      <c r="B114" s="11" t="s">
        <v>110</v>
      </c>
      <c r="C114" s="11" t="s">
        <v>116</v>
      </c>
      <c r="D114" s="11">
        <v>3</v>
      </c>
      <c r="E114" s="11" t="s">
        <v>8</v>
      </c>
      <c r="F114" s="11">
        <v>25</v>
      </c>
      <c r="G114" s="11">
        <v>1503</v>
      </c>
      <c r="H114" s="11">
        <v>2</v>
      </c>
      <c r="I114" s="11"/>
    </row>
    <row r="115" spans="2:9">
      <c r="B115" s="11" t="s">
        <v>142</v>
      </c>
      <c r="C115" s="11"/>
      <c r="D115" s="11"/>
      <c r="E115" s="11" t="s">
        <v>8</v>
      </c>
      <c r="F115" s="11">
        <v>25</v>
      </c>
      <c r="G115" s="11">
        <v>1609</v>
      </c>
      <c r="H115" s="11"/>
      <c r="I115" s="11"/>
    </row>
    <row r="116" spans="2:9">
      <c r="B116" s="11" t="s">
        <v>142</v>
      </c>
      <c r="C116" s="11"/>
      <c r="D116" s="11"/>
      <c r="E116" s="11" t="s">
        <v>8</v>
      </c>
      <c r="F116" s="11">
        <v>25</v>
      </c>
      <c r="G116" s="11">
        <v>1608</v>
      </c>
      <c r="H116" s="11"/>
      <c r="I116" s="11"/>
    </row>
    <row r="117" spans="2:9">
      <c r="B117" s="11" t="s">
        <v>142</v>
      </c>
      <c r="C117" s="11"/>
      <c r="D117" s="11"/>
      <c r="E117" s="11" t="s">
        <v>8</v>
      </c>
      <c r="F117" s="11">
        <v>25</v>
      </c>
      <c r="G117" s="11">
        <v>1603</v>
      </c>
      <c r="H117" s="11"/>
      <c r="I117" s="11"/>
    </row>
    <row r="118" spans="2:9">
      <c r="B118" s="11" t="s">
        <v>142</v>
      </c>
      <c r="C118" s="11"/>
      <c r="D118" s="11"/>
      <c r="E118" s="11" t="s">
        <v>0</v>
      </c>
      <c r="F118" s="11">
        <v>17</v>
      </c>
      <c r="G118" s="11">
        <v>2605</v>
      </c>
      <c r="H118" s="11"/>
      <c r="I118" s="11"/>
    </row>
    <row r="119" spans="2:9">
      <c r="B119" s="11" t="s">
        <v>142</v>
      </c>
      <c r="C119" s="11"/>
      <c r="D119" s="11"/>
      <c r="E119" s="11" t="s">
        <v>0</v>
      </c>
      <c r="F119" s="11">
        <v>17</v>
      </c>
      <c r="G119" s="11">
        <v>2601</v>
      </c>
      <c r="H119" s="11"/>
      <c r="I119" s="11"/>
    </row>
    <row r="120" spans="2:9">
      <c r="B120" s="11" t="s">
        <v>142</v>
      </c>
      <c r="C120" s="11"/>
      <c r="D120" s="11"/>
      <c r="E120" s="11" t="s">
        <v>0</v>
      </c>
      <c r="F120" s="11">
        <v>17</v>
      </c>
      <c r="G120" s="11">
        <v>2602</v>
      </c>
      <c r="H120" s="11"/>
      <c r="I120" s="11"/>
    </row>
    <row r="121" spans="2:9">
      <c r="B121" s="11" t="s">
        <v>142</v>
      </c>
      <c r="C121" s="11"/>
      <c r="D121" s="11"/>
      <c r="E121" s="11" t="s">
        <v>0</v>
      </c>
      <c r="F121" s="11">
        <v>25</v>
      </c>
      <c r="G121" s="11">
        <v>2504</v>
      </c>
      <c r="H121" s="11"/>
      <c r="I121" s="11"/>
    </row>
    <row r="122" spans="2:9">
      <c r="B122" s="11" t="s">
        <v>142</v>
      </c>
      <c r="C122" s="11"/>
      <c r="D122" s="11"/>
      <c r="E122" s="11" t="s">
        <v>0</v>
      </c>
      <c r="F122" s="11">
        <v>25</v>
      </c>
      <c r="G122" s="11">
        <v>2503</v>
      </c>
      <c r="H122" s="11"/>
      <c r="I122" s="11"/>
    </row>
    <row r="123" spans="2:9">
      <c r="B123" s="11" t="s">
        <v>142</v>
      </c>
      <c r="C123" s="11"/>
      <c r="D123" s="11"/>
      <c r="E123" s="11" t="s">
        <v>0</v>
      </c>
      <c r="F123" s="11">
        <v>25</v>
      </c>
      <c r="G123" s="11">
        <v>2508</v>
      </c>
      <c r="H123" s="11"/>
      <c r="I123" s="11"/>
    </row>
    <row r="124" spans="2:9">
      <c r="B124" s="11" t="s">
        <v>142</v>
      </c>
      <c r="C124" s="11"/>
      <c r="D124" s="11"/>
      <c r="E124" s="11" t="s">
        <v>0</v>
      </c>
      <c r="F124" s="11">
        <v>25</v>
      </c>
      <c r="G124" s="11">
        <v>2607</v>
      </c>
      <c r="H124" s="11"/>
      <c r="I124" s="11"/>
    </row>
    <row r="125" spans="2:9">
      <c r="B125" s="11" t="s">
        <v>142</v>
      </c>
      <c r="C125" s="11"/>
      <c r="D125" s="11"/>
      <c r="E125" s="11" t="s">
        <v>0</v>
      </c>
      <c r="F125" s="11">
        <v>25</v>
      </c>
      <c r="G125" s="11">
        <v>2604</v>
      </c>
      <c r="H125" s="11"/>
      <c r="I125" s="11"/>
    </row>
    <row r="126" spans="2:9">
      <c r="B126" s="11" t="s">
        <v>142</v>
      </c>
      <c r="C126" s="11"/>
      <c r="D126" s="11"/>
      <c r="E126" s="11" t="s">
        <v>0</v>
      </c>
      <c r="F126" s="11">
        <v>25</v>
      </c>
      <c r="G126" s="11">
        <v>2603</v>
      </c>
      <c r="H126" s="11"/>
      <c r="I126" s="11"/>
    </row>
    <row r="127" spans="2:9">
      <c r="B127" s="11" t="s">
        <v>142</v>
      </c>
      <c r="C127" s="11"/>
      <c r="D127" s="11"/>
      <c r="E127" s="11" t="s">
        <v>0</v>
      </c>
      <c r="F127" s="11">
        <v>25</v>
      </c>
      <c r="G127" s="11">
        <v>2608</v>
      </c>
      <c r="H127" s="11"/>
      <c r="I127" s="11"/>
    </row>
    <row r="128" spans="2:9">
      <c r="B128" s="11" t="s">
        <v>142</v>
      </c>
      <c r="C128" s="11"/>
      <c r="D128" s="11"/>
      <c r="E128" s="11" t="s">
        <v>0</v>
      </c>
      <c r="F128" s="11">
        <v>25</v>
      </c>
      <c r="G128" s="11">
        <v>2210</v>
      </c>
      <c r="H128" s="11"/>
      <c r="I128" s="11"/>
    </row>
    <row r="129" spans="2:9">
      <c r="B129" s="11"/>
      <c r="C129" s="11"/>
      <c r="D129" s="11"/>
      <c r="E129" s="11" t="s">
        <v>8</v>
      </c>
      <c r="F129" s="11">
        <v>25</v>
      </c>
      <c r="G129" s="11">
        <v>1511</v>
      </c>
      <c r="H129" s="11"/>
      <c r="I129" s="11"/>
    </row>
  </sheetData>
  <autoFilter ref="B2:I128" xr:uid="{F739BA25-1A27-DA44-B416-01ABCAF5C1D6}"/>
  <mergeCells count="1">
    <mergeCell ref="B1:I1"/>
  </mergeCells>
  <phoneticPr fontId="2" type="noConversion"/>
  <pageMargins left="0.2" right="0.2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AEEE-8019-B445-B6A2-065F89AA19B0}">
  <dimension ref="B1:H32"/>
  <sheetViews>
    <sheetView tabSelected="1" zoomScale="150" zoomScaleNormal="97" workbookViewId="0">
      <selection activeCell="H18" sqref="H18"/>
    </sheetView>
  </sheetViews>
  <sheetFormatPr baseColWidth="10" defaultRowHeight="18"/>
  <cols>
    <col min="2" max="2" width="11.85546875" customWidth="1"/>
    <col min="3" max="3" width="10.85546875" style="1" bestFit="1" customWidth="1"/>
    <col min="4" max="5" width="11" style="1" bestFit="1" customWidth="1"/>
    <col min="6" max="6" width="10.85546875" style="1" bestFit="1" customWidth="1"/>
    <col min="7" max="7" width="11.85546875" style="1" bestFit="1" customWidth="1"/>
    <col min="8" max="8" width="11.7109375" style="1" bestFit="1" customWidth="1"/>
  </cols>
  <sheetData>
    <row r="1" spans="2:8" ht="22">
      <c r="B1" s="19" t="s">
        <v>125</v>
      </c>
      <c r="C1" s="19"/>
      <c r="D1" s="19"/>
      <c r="E1" s="19"/>
      <c r="F1" s="19"/>
      <c r="G1" s="19"/>
      <c r="H1" s="19"/>
    </row>
    <row r="3" spans="2:8">
      <c r="B3" s="3" t="s">
        <v>6</v>
      </c>
      <c r="C3" s="3" t="s">
        <v>117</v>
      </c>
      <c r="D3" s="3" t="s">
        <v>119</v>
      </c>
      <c r="E3" s="3" t="s">
        <v>118</v>
      </c>
      <c r="F3" s="3" t="s">
        <v>120</v>
      </c>
      <c r="G3" s="3" t="s">
        <v>121</v>
      </c>
      <c r="H3" s="3" t="s">
        <v>124</v>
      </c>
    </row>
    <row r="4" spans="2:8">
      <c r="B4" s="2" t="s">
        <v>7</v>
      </c>
      <c r="C4" s="2">
        <f>SUMIF(객실배치!B:B, 통계!B4, 객실배치!D:D)</f>
        <v>57</v>
      </c>
      <c r="D4" s="2">
        <f>COUNTIFS(객실배치!B:B, 통계!B4, 객실배치!F:F, 17)</f>
        <v>14</v>
      </c>
      <c r="E4" s="2">
        <f>COUNTIFS(객실배치!B:B, 통계!B4, 객실배치!F:F, 25)</f>
        <v>6</v>
      </c>
      <c r="F4" s="2">
        <f>COUNTIFS(객실배치!B:B, 통계!B4, 객실배치!H:H, 1)</f>
        <v>2</v>
      </c>
      <c r="G4" s="2">
        <f>COUNTIFS(객실배치!B:B, 통계!B4, 객실배치!H:H, 2)</f>
        <v>13</v>
      </c>
      <c r="H4" s="2">
        <f>COUNTIFS(객실배치!B:B, 통계!B4, 객실배치!H:H, 3)</f>
        <v>5</v>
      </c>
    </row>
    <row r="5" spans="2:8">
      <c r="B5" s="2" t="s">
        <v>29</v>
      </c>
      <c r="C5" s="2">
        <f>SUMIF(객실배치!B:B, 통계!B5, 객실배치!D:D)</f>
        <v>65</v>
      </c>
      <c r="D5" s="2">
        <f>COUNTIFS(객실배치!B:B, 통계!B5, 객실배치!F:F, 17)</f>
        <v>13</v>
      </c>
      <c r="E5" s="2">
        <f>COUNTIFS(객실배치!B:B, 통계!B5, 객실배치!F:F, 25)</f>
        <v>11</v>
      </c>
      <c r="F5" s="2">
        <f>COUNTIFS(객실배치!B:B, 통계!B5, 객실배치!H:H, 1)</f>
        <v>0</v>
      </c>
      <c r="G5" s="2">
        <f>COUNTIFS(객실배치!B:B, 통계!B5, 객실배치!H:H, 2)</f>
        <v>21</v>
      </c>
      <c r="H5" s="2">
        <f>COUNTIFS(객실배치!B:B, 통계!B5, 객실배치!H:H, 3)</f>
        <v>3</v>
      </c>
    </row>
    <row r="6" spans="2:8">
      <c r="B6" s="2" t="s">
        <v>51</v>
      </c>
      <c r="C6" s="2">
        <f>SUMIF(객실배치!B:B, 통계!B6, 객실배치!D:D)</f>
        <v>62</v>
      </c>
      <c r="D6" s="2">
        <f>COUNTIFS(객실배치!B:B, 통계!B6, 객실배치!F:F, 17)</f>
        <v>12</v>
      </c>
      <c r="E6" s="2">
        <f>COUNTIFS(객실배치!B:B, 통계!B6, 객실배치!F:F, 25)</f>
        <v>9</v>
      </c>
      <c r="F6" s="2">
        <f>COUNTIFS(객실배치!B:B, 통계!B6, 객실배치!H:H, 1)</f>
        <v>1</v>
      </c>
      <c r="G6" s="2">
        <f>COUNTIFS(객실배치!B:B, 통계!B6, 객실배치!H:H, 2)</f>
        <v>19</v>
      </c>
      <c r="H6" s="2">
        <f>COUNTIFS(객실배치!B:B, 통계!B6, 객실배치!H:H, 3)</f>
        <v>1</v>
      </c>
    </row>
    <row r="7" spans="2:8">
      <c r="B7" s="2" t="s">
        <v>98</v>
      </c>
      <c r="C7" s="2">
        <f>SUMIF(객실배치!B:B, 통계!B7, 객실배치!D:D)</f>
        <v>47</v>
      </c>
      <c r="D7" s="2">
        <f>COUNTIFS(객실배치!B:B, 통계!B7, 객실배치!F:F, 17)</f>
        <v>10</v>
      </c>
      <c r="E7" s="2">
        <f>COUNTIFS(객실배치!B:B, 통계!B7, 객실배치!F:F, 25)</f>
        <v>6</v>
      </c>
      <c r="F7" s="2">
        <f>COUNTIFS(객실배치!B:B, 통계!B7, 객실배치!H:H, 1)</f>
        <v>0</v>
      </c>
      <c r="G7" s="2">
        <f>COUNTIFS(객실배치!B:B, 통계!B7, 객실배치!H:H, 2)</f>
        <v>15</v>
      </c>
      <c r="H7" s="2">
        <f>COUNTIFS(객실배치!B:B, 통계!B7, 객실배치!H:H, 3)</f>
        <v>1</v>
      </c>
    </row>
    <row r="8" spans="2:8">
      <c r="B8" s="2" t="s">
        <v>89</v>
      </c>
      <c r="C8" s="2">
        <f>SUMIF(객실배치!B:B, 통계!B8, 객실배치!D:D)</f>
        <v>27</v>
      </c>
      <c r="D8" s="2">
        <f>COUNTIFS(객실배치!B:B, 통계!B8, 객실배치!F:F, 17)</f>
        <v>5</v>
      </c>
      <c r="E8" s="2">
        <f>COUNTIFS(객실배치!B:B, 통계!B8, 객실배치!F:F, 25)</f>
        <v>3</v>
      </c>
      <c r="F8" s="2">
        <f>COUNTIFS(객실배치!B:B, 통계!B8, 객실배치!H:H, 1)</f>
        <v>0</v>
      </c>
      <c r="G8" s="2">
        <f>COUNTIFS(객실배치!B:B, 통계!B8, 객실배치!H:H, 2)</f>
        <v>8</v>
      </c>
      <c r="H8" s="2">
        <f>COUNTIFS(객실배치!B:B, 통계!B8, 객실배치!H:H, 3)</f>
        <v>0</v>
      </c>
    </row>
    <row r="9" spans="2:8">
      <c r="B9" s="2" t="s">
        <v>83</v>
      </c>
      <c r="C9" s="2">
        <f>SUMIF(객실배치!B:B, 통계!B9, 객실배치!D:D)</f>
        <v>14</v>
      </c>
      <c r="D9" s="2">
        <f>COUNTIFS(객실배치!B:B, 통계!B9, 객실배치!F:F, 17)</f>
        <v>3</v>
      </c>
      <c r="E9" s="2">
        <f>COUNTIFS(객실배치!B:B, 통계!B9, 객실배치!F:F, 25)</f>
        <v>2</v>
      </c>
      <c r="F9" s="2">
        <f>COUNTIFS(객실배치!B:B, 통계!B9, 객실배치!H:H, 1)</f>
        <v>0</v>
      </c>
      <c r="G9" s="2">
        <f>COUNTIFS(객실배치!B:B, 통계!B9, 객실배치!H:H, 2)</f>
        <v>5</v>
      </c>
      <c r="H9" s="2">
        <f>COUNTIFS(객실배치!B:B, 통계!B9, 객실배치!H:H, 3)</f>
        <v>0</v>
      </c>
    </row>
    <row r="10" spans="2:8">
      <c r="B10" s="2" t="s">
        <v>71</v>
      </c>
      <c r="C10" s="2">
        <f>SUMIF(객실배치!B:B, 통계!B10, 객실배치!D:D)</f>
        <v>30</v>
      </c>
      <c r="D10" s="2">
        <f>COUNTIFS(객실배치!B:B, 통계!B10, 객실배치!F:F, 17)</f>
        <v>7</v>
      </c>
      <c r="E10" s="2">
        <f>COUNTIFS(객실배치!B:B, 통계!B10, 객실배치!F:F, 25)</f>
        <v>4</v>
      </c>
      <c r="F10" s="2">
        <f>COUNTIFS(객실배치!B:B, 통계!B10, 객실배치!H:H, 1)</f>
        <v>0</v>
      </c>
      <c r="G10" s="2">
        <f>COUNTIFS(객실배치!B:B, 통계!B10, 객실배치!H:H, 2)</f>
        <v>10</v>
      </c>
      <c r="H10" s="2">
        <f>COUNTIFS(객실배치!B:B, 통계!B10, 객실배치!H:H, 3)</f>
        <v>1</v>
      </c>
    </row>
    <row r="11" spans="2:8">
      <c r="B11" s="2" t="s">
        <v>110</v>
      </c>
      <c r="C11" s="2">
        <f>SUMIF(객실배치!B:B, 통계!B11, 객실배치!D:D)</f>
        <v>20</v>
      </c>
      <c r="D11" s="2">
        <f>COUNTIFS(객실배치!B:B, 통계!B11, 객실배치!F:F, 17)</f>
        <v>3</v>
      </c>
      <c r="E11" s="2">
        <f>COUNTIFS(객실배치!B:B, 통계!B11, 객실배치!F:F, 25)</f>
        <v>4</v>
      </c>
      <c r="F11" s="2">
        <f>COUNTIFS(객실배치!B:B, 통계!B11, 객실배치!H:H, 1)</f>
        <v>0</v>
      </c>
      <c r="G11" s="2">
        <f>COUNTIFS(객실배치!B:B, 통계!B11, 객실배치!H:H, 2)</f>
        <v>7</v>
      </c>
      <c r="H11" s="2">
        <f>COUNTIFS(객실배치!B:B, 통계!B11, 객실배치!H:H, 3)</f>
        <v>0</v>
      </c>
    </row>
    <row r="12" spans="2:8">
      <c r="B12" s="3" t="s">
        <v>122</v>
      </c>
      <c r="C12" s="3">
        <f t="shared" ref="C12:H12" si="0">SUM(C4:C11)</f>
        <v>322</v>
      </c>
      <c r="D12" s="3">
        <f t="shared" si="0"/>
        <v>67</v>
      </c>
      <c r="E12" s="3">
        <f t="shared" si="0"/>
        <v>45</v>
      </c>
      <c r="F12" s="3">
        <f t="shared" si="0"/>
        <v>3</v>
      </c>
      <c r="G12" s="3">
        <f t="shared" si="0"/>
        <v>98</v>
      </c>
      <c r="H12" s="3">
        <f t="shared" si="0"/>
        <v>11</v>
      </c>
    </row>
    <row r="14" spans="2:8">
      <c r="B14" s="6" t="s">
        <v>123</v>
      </c>
      <c r="C14" s="6"/>
      <c r="D14" s="8">
        <f>SUM(D12*70000*2)</f>
        <v>9380000</v>
      </c>
      <c r="E14" s="8">
        <f>SUM(E12*90000*2)</f>
        <v>8100000</v>
      </c>
      <c r="F14" s="8">
        <f>SUM(H12*70000)</f>
        <v>770000</v>
      </c>
      <c r="G14" s="14" t="s">
        <v>151</v>
      </c>
      <c r="H14" s="8">
        <f>SUM(D14:F14)</f>
        <v>18250000</v>
      </c>
    </row>
    <row r="16" spans="2:8">
      <c r="B16" s="2" t="s">
        <v>142</v>
      </c>
      <c r="C16" s="2">
        <f>SUMIF(객실배치!B:B, 통계!B16, 객실배치!D:D)</f>
        <v>0</v>
      </c>
      <c r="D16" s="2">
        <f>COUNTIFS(객실배치!B:B, 통계!B16, 객실배치!F:F, 17)</f>
        <v>3</v>
      </c>
      <c r="E16" s="2">
        <f>COUNTIFS(객실배치!B:B, 통계!B16, 객실배치!F:F, 25)</f>
        <v>11</v>
      </c>
      <c r="F16" s="2">
        <f>COUNTIFS(객실배치!B:B, 통계!B16, 객실배치!H:H, 1)</f>
        <v>0</v>
      </c>
      <c r="G16" s="2">
        <f>COUNTIFS(객실배치!B:B, 통계!B16, 객실배치!H:H, 2)</f>
        <v>0</v>
      </c>
      <c r="H16" s="2">
        <f>COUNTIFS(객실배치!B:B, 통계!B16, 객실배치!H:H, 3)</f>
        <v>0</v>
      </c>
    </row>
    <row r="17" spans="2:8">
      <c r="B17" s="1"/>
    </row>
    <row r="18" spans="2:8" ht="22">
      <c r="B18" s="19" t="s">
        <v>126</v>
      </c>
      <c r="C18" s="19"/>
      <c r="D18" s="19"/>
      <c r="E18" s="19"/>
      <c r="F18" s="19"/>
      <c r="G18" s="19"/>
      <c r="H18" s="5"/>
    </row>
    <row r="19" spans="2:8">
      <c r="B19" s="1"/>
    </row>
    <row r="20" spans="2:8">
      <c r="B20" s="3"/>
      <c r="C20" s="3" t="s">
        <v>127</v>
      </c>
      <c r="D20" s="3"/>
      <c r="E20" s="3" t="s">
        <v>128</v>
      </c>
      <c r="F20" s="3"/>
      <c r="G20" s="3" t="s">
        <v>129</v>
      </c>
    </row>
    <row r="21" spans="2:8">
      <c r="B21" s="2" t="s">
        <v>130</v>
      </c>
      <c r="C21" s="2"/>
      <c r="D21" s="2"/>
      <c r="E21" s="2">
        <v>250</v>
      </c>
      <c r="F21" s="2"/>
      <c r="G21" s="2">
        <v>250</v>
      </c>
    </row>
    <row r="22" spans="2:8">
      <c r="B22" s="2" t="s">
        <v>131</v>
      </c>
      <c r="C22" s="2"/>
      <c r="D22" s="2"/>
      <c r="E22" s="2"/>
      <c r="F22" s="2"/>
      <c r="G22" s="2">
        <v>280</v>
      </c>
    </row>
    <row r="23" spans="2:8">
      <c r="B23" s="2" t="s">
        <v>132</v>
      </c>
      <c r="C23" s="2">
        <v>280</v>
      </c>
      <c r="D23" s="2"/>
      <c r="E23" s="2">
        <v>280</v>
      </c>
      <c r="F23" s="2"/>
      <c r="G23" s="2"/>
    </row>
    <row r="24" spans="2:8">
      <c r="B24" s="6" t="s">
        <v>133</v>
      </c>
      <c r="C24" s="6">
        <f>SUM(C21:C23)</f>
        <v>280</v>
      </c>
      <c r="D24" s="6"/>
      <c r="E24" s="6">
        <f t="shared" ref="E24:G24" si="1">SUM(E21:E23)</f>
        <v>530</v>
      </c>
      <c r="F24" s="6"/>
      <c r="G24" s="6">
        <f t="shared" si="1"/>
        <v>530</v>
      </c>
      <c r="H24" s="9">
        <f>SUM(C24:G24)</f>
        <v>1340</v>
      </c>
    </row>
    <row r="25" spans="2:8">
      <c r="B25" s="7"/>
    </row>
    <row r="26" spans="2:8">
      <c r="B26" s="3" t="s">
        <v>123</v>
      </c>
      <c r="C26" s="15">
        <f>SUM(H24*11000)</f>
        <v>14740000</v>
      </c>
      <c r="D26" s="20"/>
      <c r="E26" s="20"/>
      <c r="F26" s="20"/>
      <c r="G26" s="21"/>
    </row>
    <row r="28" spans="2:8">
      <c r="B28" s="4" t="s">
        <v>134</v>
      </c>
      <c r="C28" s="15">
        <v>3150000</v>
      </c>
      <c r="D28" s="21"/>
      <c r="F28" s="22"/>
      <c r="G28" s="22"/>
    </row>
    <row r="30" spans="2:8">
      <c r="B30" s="3" t="s">
        <v>122</v>
      </c>
      <c r="C30" s="15">
        <f>SUM(C26,C28)</f>
        <v>17890000</v>
      </c>
      <c r="D30" s="16"/>
    </row>
    <row r="32" spans="2:8">
      <c r="B32" s="17" t="s">
        <v>135</v>
      </c>
      <c r="C32" s="17"/>
      <c r="D32" s="18">
        <f>SUM(H14,C26)</f>
        <v>32990000</v>
      </c>
      <c r="E32" s="17"/>
    </row>
  </sheetData>
  <mergeCells count="8">
    <mergeCell ref="C30:D30"/>
    <mergeCell ref="B32:C32"/>
    <mergeCell ref="D32:E32"/>
    <mergeCell ref="B1:H1"/>
    <mergeCell ref="B18:G18"/>
    <mergeCell ref="C26:G26"/>
    <mergeCell ref="C28:D28"/>
    <mergeCell ref="F28:G28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객실배치</vt:lpstr>
      <vt:lpstr>통계</vt:lpstr>
      <vt:lpstr>객실배치!Print_Titles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</dc:creator>
  <cp:lastModifiedBy>epa</cp:lastModifiedBy>
  <cp:lastPrinted>2026-03-21T01:44:22Z</cp:lastPrinted>
  <dcterms:created xsi:type="dcterms:W3CDTF">2026-03-20T07:29:10Z</dcterms:created>
  <dcterms:modified xsi:type="dcterms:W3CDTF">2026-03-26T09:39:22Z</dcterms:modified>
</cp:coreProperties>
</file>