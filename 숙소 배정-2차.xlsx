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seunglog/Library/Mobile Documents/com~apple~CloudDocs/서울친교회/2026년 봄친교회/"/>
    </mc:Choice>
  </mc:AlternateContent>
  <xr:revisionPtr revIDLastSave="0" documentId="13_ncr:1_{0CE0E65F-4260-5941-818F-2931151BA115}" xr6:coauthVersionLast="47" xr6:coauthVersionMax="47" xr10:uidLastSave="{00000000-0000-0000-0000-000000000000}"/>
  <bookViews>
    <workbookView xWindow="-38240" yWindow="800" windowWidth="37400" windowHeight="20220" xr2:uid="{C2A139FD-E8EC-A044-963B-B2B116D90445}"/>
  </bookViews>
  <sheets>
    <sheet name="객실배치" sheetId="1" r:id="rId1"/>
    <sheet name="통계" sheetId="2" r:id="rId2"/>
    <sheet name="리조트보고용" sheetId="3" r:id="rId3"/>
  </sheets>
  <definedNames>
    <definedName name="_xlnm._FilterDatabase" localSheetId="0" hidden="1">객실배치!$B$2:$I$126</definedName>
    <definedName name="_xlnm.Print_Titles" localSheetId="0">객실배치!$2:$2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" i="2" l="1" a="1"/>
  <c r="P3" i="2" s="1"/>
  <c r="O3" i="2" a="1"/>
  <c r="O3" i="2" s="1"/>
  <c r="L16" i="2" a="1"/>
  <c r="L16" i="2" s="1"/>
  <c r="J16" i="2" a="1"/>
  <c r="J16" i="2" s="1"/>
  <c r="K9" i="2"/>
  <c r="L9" i="2" s="1"/>
  <c r="K8" i="2"/>
  <c r="L8" i="2" s="1"/>
  <c r="K7" i="2"/>
  <c r="L7" i="2" s="1"/>
  <c r="K4" i="2"/>
  <c r="L4" i="2" s="1"/>
  <c r="K6" i="2"/>
  <c r="L6" i="2" s="1"/>
  <c r="K5" i="2"/>
  <c r="L5" i="2" s="1"/>
  <c r="C14" i="2"/>
  <c r="D14" i="2"/>
  <c r="E14" i="2"/>
  <c r="F14" i="2"/>
  <c r="G14" i="2"/>
  <c r="H14" i="2"/>
  <c r="E22" i="2"/>
  <c r="G22" i="2"/>
  <c r="C22" i="2"/>
  <c r="H5" i="2"/>
  <c r="H6" i="2"/>
  <c r="H7" i="2"/>
  <c r="H8" i="2"/>
  <c r="H9" i="2"/>
  <c r="H10" i="2"/>
  <c r="H11" i="2"/>
  <c r="H4" i="2"/>
  <c r="G5" i="2"/>
  <c r="G6" i="2"/>
  <c r="G7" i="2"/>
  <c r="G8" i="2"/>
  <c r="G9" i="2"/>
  <c r="G10" i="2"/>
  <c r="G11" i="2"/>
  <c r="G4" i="2"/>
  <c r="F5" i="2"/>
  <c r="F6" i="2"/>
  <c r="F7" i="2"/>
  <c r="F8" i="2"/>
  <c r="F9" i="2"/>
  <c r="F10" i="2"/>
  <c r="F11" i="2"/>
  <c r="F4" i="2"/>
  <c r="C5" i="2"/>
  <c r="D5" i="2"/>
  <c r="E5" i="2"/>
  <c r="C6" i="2"/>
  <c r="D6" i="2"/>
  <c r="E6" i="2"/>
  <c r="C7" i="2"/>
  <c r="D7" i="2"/>
  <c r="E7" i="2"/>
  <c r="C8" i="2"/>
  <c r="D8" i="2"/>
  <c r="E8" i="2"/>
  <c r="C9" i="2"/>
  <c r="D9" i="2"/>
  <c r="E9" i="2"/>
  <c r="C10" i="2"/>
  <c r="D10" i="2"/>
  <c r="E10" i="2"/>
  <c r="C11" i="2"/>
  <c r="D11" i="2"/>
  <c r="E11" i="2"/>
  <c r="E4" i="2"/>
  <c r="D4" i="2"/>
  <c r="C4" i="2"/>
  <c r="C24" i="2" l="1"/>
  <c r="E24" i="2" s="1"/>
  <c r="M7" i="2"/>
  <c r="M4" i="2"/>
  <c r="K11" i="2" s="1"/>
  <c r="E12" i="2"/>
  <c r="D12" i="2"/>
  <c r="C12" i="2"/>
  <c r="H12" i="2"/>
  <c r="F12" i="2"/>
  <c r="G12" i="2"/>
  <c r="D29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<sst xmlns="http://schemas.openxmlformats.org/spreadsheetml/2006/main" count="449" uniqueCount="189">
  <si>
    <t>별관</t>
    <phoneticPr fontId="1" type="noConversion"/>
  </si>
  <si>
    <t>동</t>
    <phoneticPr fontId="1" type="noConversion"/>
  </si>
  <si>
    <t>평</t>
    <phoneticPr fontId="1" type="noConversion"/>
  </si>
  <si>
    <t>호실</t>
    <phoneticPr fontId="1" type="noConversion"/>
  </si>
  <si>
    <t>입실자</t>
    <phoneticPr fontId="1" type="noConversion"/>
  </si>
  <si>
    <t>기간</t>
    <phoneticPr fontId="1" type="noConversion"/>
  </si>
  <si>
    <t>친교회</t>
    <phoneticPr fontId="1" type="noConversion"/>
  </si>
  <si>
    <t>서울친교회</t>
    <phoneticPr fontId="1" type="noConversion"/>
  </si>
  <si>
    <t>본관</t>
    <phoneticPr fontId="1" type="noConversion"/>
  </si>
  <si>
    <t>김학수, 주견자</t>
    <phoneticPr fontId="1" type="noConversion"/>
  </si>
  <si>
    <t>이정삼, 김용숙</t>
    <phoneticPr fontId="1" type="noConversion"/>
  </si>
  <si>
    <t>장창호, 정해숙</t>
    <phoneticPr fontId="1" type="noConversion"/>
  </si>
  <si>
    <t>최정식, 권미애</t>
    <phoneticPr fontId="1" type="noConversion"/>
  </si>
  <si>
    <t>김홍길, 이순자</t>
    <phoneticPr fontId="1" type="noConversion"/>
  </si>
  <si>
    <t>이명규, 남선희</t>
    <phoneticPr fontId="1" type="noConversion"/>
  </si>
  <si>
    <t>이은철, 임현희</t>
    <phoneticPr fontId="1" type="noConversion"/>
  </si>
  <si>
    <t>김경석, 채승희</t>
    <phoneticPr fontId="1" type="noConversion"/>
  </si>
  <si>
    <t>라영규, 장윤숙</t>
    <phoneticPr fontId="1" type="noConversion"/>
  </si>
  <si>
    <t>김상완, 김성혜</t>
    <phoneticPr fontId="1" type="noConversion"/>
  </si>
  <si>
    <t>이승록, 손은미</t>
    <phoneticPr fontId="1" type="noConversion"/>
  </si>
  <si>
    <t>심재혁, 엄승희</t>
    <phoneticPr fontId="1" type="noConversion"/>
  </si>
  <si>
    <t>이승훈 가족</t>
    <phoneticPr fontId="1" type="noConversion"/>
  </si>
  <si>
    <t>유병현 가족</t>
    <phoneticPr fontId="1" type="noConversion"/>
  </si>
  <si>
    <t>김성진, 이승호 정창욱, 김지수</t>
    <phoneticPr fontId="1" type="noConversion"/>
  </si>
  <si>
    <t>김관준, 오상률, 박세호, 이강헌</t>
    <phoneticPr fontId="1" type="noConversion"/>
  </si>
  <si>
    <t>이형주 가족</t>
    <phoneticPr fontId="1" type="noConversion"/>
  </si>
  <si>
    <t>송기창 가족</t>
    <phoneticPr fontId="1" type="noConversion"/>
  </si>
  <si>
    <t>박세용 부부, 김병석 부부</t>
    <phoneticPr fontId="1" type="noConversion"/>
  </si>
  <si>
    <t>김명순 부부, 최정기</t>
    <phoneticPr fontId="1" type="noConversion"/>
  </si>
  <si>
    <t>경인친교회</t>
    <phoneticPr fontId="1" type="noConversion"/>
  </si>
  <si>
    <t>김용웅, 박옥자</t>
    <phoneticPr fontId="1" type="noConversion"/>
  </si>
  <si>
    <t>박선종, 윤순자</t>
    <phoneticPr fontId="1" type="noConversion"/>
  </si>
  <si>
    <t>이오림, 이근이</t>
    <phoneticPr fontId="1" type="noConversion"/>
  </si>
  <si>
    <t>전병호, 박옥희</t>
    <phoneticPr fontId="1" type="noConversion"/>
  </si>
  <si>
    <t>이재기, 문현숙</t>
    <phoneticPr fontId="1" type="noConversion"/>
  </si>
  <si>
    <t>정민철, 주석영, 박정혁 가족</t>
    <phoneticPr fontId="1" type="noConversion"/>
  </si>
  <si>
    <t>박창신, 장혜경</t>
    <phoneticPr fontId="1" type="noConversion"/>
  </si>
  <si>
    <t>박일래, 하은주, 김영태, 이지은</t>
    <phoneticPr fontId="1" type="noConversion"/>
  </si>
  <si>
    <t>정동명 가족, 오수정</t>
    <phoneticPr fontId="1" type="noConversion"/>
  </si>
  <si>
    <t>전윤택, 이뵈뵈, 정하영</t>
    <phoneticPr fontId="1" type="noConversion"/>
  </si>
  <si>
    <t>윤석호, 유영이, 엄선용, 허성구</t>
    <phoneticPr fontId="1" type="noConversion"/>
  </si>
  <si>
    <t>김조동, SWATH, SREY AUN</t>
    <phoneticPr fontId="1" type="noConversion"/>
  </si>
  <si>
    <t>PHALIN, LIDE / SOKHA, VICHORA</t>
    <phoneticPr fontId="1" type="noConversion"/>
  </si>
  <si>
    <t>박동근, 석복순</t>
    <phoneticPr fontId="1" type="noConversion"/>
  </si>
  <si>
    <t>손인석, 성정희</t>
    <phoneticPr fontId="1" type="noConversion"/>
  </si>
  <si>
    <t>김기명, 김미희</t>
    <phoneticPr fontId="1" type="noConversion"/>
  </si>
  <si>
    <t>여우석, 강미선</t>
    <phoneticPr fontId="1" type="noConversion"/>
  </si>
  <si>
    <t>이상돈, 김 선</t>
    <phoneticPr fontId="1" type="noConversion"/>
  </si>
  <si>
    <t>유재명, 신경애</t>
    <phoneticPr fontId="1" type="noConversion"/>
  </si>
  <si>
    <t>전대경, 김민경 가족</t>
    <phoneticPr fontId="1" type="noConversion"/>
  </si>
  <si>
    <t>유병선, 신효선 가족</t>
    <phoneticPr fontId="1" type="noConversion"/>
  </si>
  <si>
    <t>경원친교회</t>
    <phoneticPr fontId="1" type="noConversion"/>
  </si>
  <si>
    <t>김기준, 이금실</t>
    <phoneticPr fontId="1" type="noConversion"/>
  </si>
  <si>
    <t>강효민, 강세라</t>
    <phoneticPr fontId="1" type="noConversion"/>
  </si>
  <si>
    <t>박규용, 김경숙</t>
    <phoneticPr fontId="1" type="noConversion"/>
  </si>
  <si>
    <t>김두성, 이미녕</t>
    <phoneticPr fontId="1" type="noConversion"/>
  </si>
  <si>
    <t>김완수, 이형심</t>
    <phoneticPr fontId="1" type="noConversion"/>
  </si>
  <si>
    <t>김길숙, 정순혜</t>
    <phoneticPr fontId="1" type="noConversion"/>
  </si>
  <si>
    <t>김삼영, 이기준</t>
    <phoneticPr fontId="1" type="noConversion"/>
  </si>
  <si>
    <t>박동현 가족</t>
    <phoneticPr fontId="1" type="noConversion"/>
  </si>
  <si>
    <t>임충만 가족</t>
    <phoneticPr fontId="1" type="noConversion"/>
  </si>
  <si>
    <t>정영광 가족</t>
    <phoneticPr fontId="1" type="noConversion"/>
  </si>
  <si>
    <t>정선영, 정성길, 자녀</t>
    <phoneticPr fontId="1" type="noConversion"/>
  </si>
  <si>
    <t>이정삼, 김경희</t>
    <phoneticPr fontId="1" type="noConversion"/>
  </si>
  <si>
    <t>정하권 부부, Jameson 부부</t>
    <phoneticPr fontId="1" type="noConversion"/>
  </si>
  <si>
    <t>한인숙, 한연심, 윤정희</t>
    <phoneticPr fontId="1" type="noConversion"/>
  </si>
  <si>
    <t>박상준 부부, 조경길 부부</t>
    <phoneticPr fontId="1" type="noConversion"/>
  </si>
  <si>
    <t>오성현 부부, 김승수 부부</t>
    <phoneticPr fontId="1" type="noConversion"/>
  </si>
  <si>
    <t>정규영 가족</t>
    <phoneticPr fontId="1" type="noConversion"/>
  </si>
  <si>
    <t>인원</t>
    <phoneticPr fontId="1" type="noConversion"/>
  </si>
  <si>
    <t>영남친교회</t>
    <phoneticPr fontId="1" type="noConversion"/>
  </si>
  <si>
    <t>노명학, 한영배, 1명</t>
    <phoneticPr fontId="1" type="noConversion"/>
  </si>
  <si>
    <t>유봉호, 김길숙</t>
    <phoneticPr fontId="1" type="noConversion"/>
  </si>
  <si>
    <t>손용암, 김상옥</t>
    <phoneticPr fontId="1" type="noConversion"/>
  </si>
  <si>
    <t>김성준, 박순옥</t>
    <phoneticPr fontId="1" type="noConversion"/>
  </si>
  <si>
    <t>김부길, 장선경</t>
    <phoneticPr fontId="1" type="noConversion"/>
  </si>
  <si>
    <t>이철규</t>
    <phoneticPr fontId="1" type="noConversion"/>
  </si>
  <si>
    <t>조동길 부부, 강성기 부부</t>
    <phoneticPr fontId="1" type="noConversion"/>
  </si>
  <si>
    <t>우치열 부부, 정훈, 지번</t>
    <phoneticPr fontId="1" type="noConversion"/>
  </si>
  <si>
    <t>윤광우 부부, 정재화 부부</t>
    <phoneticPr fontId="1" type="noConversion"/>
  </si>
  <si>
    <t>손덕철 부부, 김구섭 부부</t>
    <phoneticPr fontId="1" type="noConversion"/>
  </si>
  <si>
    <t>손춘영 부부</t>
    <phoneticPr fontId="1" type="noConversion"/>
  </si>
  <si>
    <t>호남친교회</t>
    <phoneticPr fontId="1" type="noConversion"/>
  </si>
  <si>
    <t>김공만, 김국태</t>
    <phoneticPr fontId="1" type="noConversion"/>
  </si>
  <si>
    <t>오상권 부부</t>
    <phoneticPr fontId="1" type="noConversion"/>
  </si>
  <si>
    <t>강민구 가족</t>
    <phoneticPr fontId="1" type="noConversion"/>
  </si>
  <si>
    <t>김종덕 부부, 박안수 부부</t>
    <phoneticPr fontId="1" type="noConversion"/>
  </si>
  <si>
    <t>중부친교회</t>
    <phoneticPr fontId="1" type="noConversion"/>
  </si>
  <si>
    <t>최철광 부부</t>
    <phoneticPr fontId="1" type="noConversion"/>
  </si>
  <si>
    <t>이강산 부부</t>
    <phoneticPr fontId="1" type="noConversion"/>
  </si>
  <si>
    <t>김세현 가족</t>
    <phoneticPr fontId="1" type="noConversion"/>
  </si>
  <si>
    <t>김세창 가족</t>
    <phoneticPr fontId="1" type="noConversion"/>
  </si>
  <si>
    <t>김민령 가족</t>
    <phoneticPr fontId="1" type="noConversion"/>
  </si>
  <si>
    <t>방의택 부부, 이요한 부부</t>
    <phoneticPr fontId="1" type="noConversion"/>
  </si>
  <si>
    <t>이영국 부부, 김길용 부부</t>
    <phoneticPr fontId="1" type="noConversion"/>
  </si>
  <si>
    <t>전재삼 부부, 박순채</t>
    <phoneticPr fontId="1" type="noConversion"/>
  </si>
  <si>
    <t>경충친교회</t>
    <phoneticPr fontId="1" type="noConversion"/>
  </si>
  <si>
    <t>김정웅, 유명희</t>
    <phoneticPr fontId="1" type="noConversion"/>
  </si>
  <si>
    <t>정명화, 조금선</t>
    <phoneticPr fontId="1" type="noConversion"/>
  </si>
  <si>
    <t>하현복, 박현숙</t>
    <phoneticPr fontId="1" type="noConversion"/>
  </si>
  <si>
    <t>문무철, 권수경</t>
    <phoneticPr fontId="1" type="noConversion"/>
  </si>
  <si>
    <t>한연석 부부, 정진국 부부</t>
    <phoneticPr fontId="1" type="noConversion"/>
  </si>
  <si>
    <t>이광배 가족</t>
    <phoneticPr fontId="1" type="noConversion"/>
  </si>
  <si>
    <t>한권희 가족</t>
    <phoneticPr fontId="1" type="noConversion"/>
  </si>
  <si>
    <t>고현식 부부</t>
    <phoneticPr fontId="1" type="noConversion"/>
  </si>
  <si>
    <t>강전구, 봉세창, 김병태</t>
    <phoneticPr fontId="1" type="noConversion"/>
  </si>
  <si>
    <t>이대은, 정미영</t>
    <phoneticPr fontId="1" type="noConversion"/>
  </si>
  <si>
    <t>신학교</t>
    <phoneticPr fontId="1" type="noConversion"/>
  </si>
  <si>
    <t>김택수</t>
    <phoneticPr fontId="1" type="noConversion"/>
  </si>
  <si>
    <t>한현수 가족</t>
    <phoneticPr fontId="1" type="noConversion"/>
  </si>
  <si>
    <t>고한결, 김기훈, 이상은</t>
    <phoneticPr fontId="1" type="noConversion"/>
  </si>
  <si>
    <t>최하솜, 이옥숙, 이상희</t>
    <phoneticPr fontId="1" type="noConversion"/>
  </si>
  <si>
    <t>전체인원</t>
    <phoneticPr fontId="1" type="noConversion"/>
  </si>
  <si>
    <t>25평</t>
    <phoneticPr fontId="1" type="noConversion"/>
  </si>
  <si>
    <t>17평</t>
    <phoneticPr fontId="1" type="noConversion"/>
  </si>
  <si>
    <t>1박</t>
    <phoneticPr fontId="1" type="noConversion"/>
  </si>
  <si>
    <t>2박</t>
    <phoneticPr fontId="1" type="noConversion"/>
  </si>
  <si>
    <t>합계</t>
    <phoneticPr fontId="1" type="noConversion"/>
  </si>
  <si>
    <t>예상비용</t>
    <phoneticPr fontId="1" type="noConversion"/>
  </si>
  <si>
    <t>3박</t>
    <phoneticPr fontId="1" type="noConversion"/>
  </si>
  <si>
    <t>친교회 및 기관별 객실 현황</t>
    <phoneticPr fontId="1" type="noConversion"/>
  </si>
  <si>
    <t>식사 인원</t>
    <phoneticPr fontId="1" type="noConversion"/>
  </si>
  <si>
    <t>월요일</t>
    <phoneticPr fontId="1" type="noConversion"/>
  </si>
  <si>
    <t>화요일</t>
    <phoneticPr fontId="1" type="noConversion"/>
  </si>
  <si>
    <t>수요일</t>
    <phoneticPr fontId="1" type="noConversion"/>
  </si>
  <si>
    <t>아침</t>
    <phoneticPr fontId="1" type="noConversion"/>
  </si>
  <si>
    <t>점심</t>
    <phoneticPr fontId="1" type="noConversion"/>
  </si>
  <si>
    <t>저녁</t>
    <phoneticPr fontId="1" type="noConversion"/>
  </si>
  <si>
    <t>소계</t>
    <phoneticPr fontId="1" type="noConversion"/>
  </si>
  <si>
    <t>화요일 중식비</t>
    <phoneticPr fontId="1" type="noConversion"/>
  </si>
  <si>
    <t>성호 리조트 지불액</t>
    <phoneticPr fontId="1" type="noConversion"/>
  </si>
  <si>
    <t>열쇠 반납</t>
    <phoneticPr fontId="1" type="noConversion"/>
  </si>
  <si>
    <t>춘계 전국 목회자 친교회 객실 배정</t>
    <phoneticPr fontId="1" type="noConversion"/>
  </si>
  <si>
    <t>문정용, 김미영</t>
    <phoneticPr fontId="1" type="noConversion"/>
  </si>
  <si>
    <t>강태진, 김종주, 자녀 1</t>
    <phoneticPr fontId="1" type="noConversion"/>
  </si>
  <si>
    <t>공실</t>
    <phoneticPr fontId="1" type="noConversion"/>
  </si>
  <si>
    <t>이건우, 안정환</t>
    <phoneticPr fontId="1" type="noConversion"/>
  </si>
  <si>
    <t>모리모토</t>
    <phoneticPr fontId="1" type="noConversion"/>
  </si>
  <si>
    <t>신현섭 부부, 이도인 부부</t>
    <phoneticPr fontId="1" type="noConversion"/>
  </si>
  <si>
    <t>김재경 부부, 정상직 부부</t>
    <phoneticPr fontId="1" type="noConversion"/>
  </si>
  <si>
    <t>이선정 가족</t>
    <phoneticPr fontId="1" type="noConversion"/>
  </si>
  <si>
    <t>정지원, 박정수</t>
    <phoneticPr fontId="1" type="noConversion"/>
  </si>
  <si>
    <t>김순이, 곽옥영</t>
    <phoneticPr fontId="1" type="noConversion"/>
  </si>
  <si>
    <t>이호준 부부</t>
    <phoneticPr fontId="1" type="noConversion"/>
  </si>
  <si>
    <t>이종호 이미선</t>
    <phoneticPr fontId="1" type="noConversion"/>
  </si>
  <si>
    <t>신철남 김만홍</t>
    <phoneticPr fontId="1" type="noConversion"/>
  </si>
  <si>
    <t>박상복 부부, 최승호 부부</t>
    <phoneticPr fontId="1" type="noConversion"/>
  </si>
  <si>
    <t>정종화 부부</t>
    <phoneticPr fontId="1" type="noConversion"/>
  </si>
  <si>
    <t>유현택  부부</t>
    <phoneticPr fontId="1" type="noConversion"/>
  </si>
  <si>
    <t>17평 2박</t>
    <phoneticPr fontId="1" type="noConversion"/>
  </si>
  <si>
    <t>17평 3박</t>
    <phoneticPr fontId="1" type="noConversion"/>
  </si>
  <si>
    <t>17평 1박</t>
    <phoneticPr fontId="1" type="noConversion"/>
  </si>
  <si>
    <t>25평 1박</t>
    <phoneticPr fontId="1" type="noConversion"/>
  </si>
  <si>
    <t>25평 2박</t>
    <phoneticPr fontId="1" type="noConversion"/>
  </si>
  <si>
    <t>25평 3박</t>
    <phoneticPr fontId="1" type="noConversion"/>
  </si>
  <si>
    <t>수량</t>
    <phoneticPr fontId="1" type="noConversion"/>
  </si>
  <si>
    <t>명</t>
    <phoneticPr fontId="1" type="noConversion"/>
  </si>
  <si>
    <t>침구류 추가</t>
    <phoneticPr fontId="1" type="noConversion"/>
  </si>
  <si>
    <t>3박 객실</t>
    <phoneticPr fontId="1" type="noConversion"/>
  </si>
  <si>
    <t>19일 ~ 22일</t>
    <phoneticPr fontId="1" type="noConversion"/>
  </si>
  <si>
    <t>20일 ~ 23일</t>
    <phoneticPr fontId="1" type="noConversion"/>
  </si>
  <si>
    <t>1박 객실</t>
    <phoneticPr fontId="1" type="noConversion"/>
  </si>
  <si>
    <t>객실 구분</t>
    <phoneticPr fontId="1" type="noConversion"/>
  </si>
  <si>
    <t>객실 비용</t>
    <phoneticPr fontId="1" type="noConversion"/>
  </si>
  <si>
    <t>3박 객실</t>
  </si>
  <si>
    <t>19일 ~ 22일</t>
  </si>
  <si>
    <t>20일 ~ 23일</t>
  </si>
  <si>
    <t>월요일</t>
  </si>
  <si>
    <t>화요일</t>
  </si>
  <si>
    <t>수요일</t>
  </si>
  <si>
    <t>아침</t>
  </si>
  <si>
    <t>점심</t>
  </si>
  <si>
    <t>저녁</t>
  </si>
  <si>
    <t>소계</t>
  </si>
  <si>
    <t>객실 예약 현황</t>
    <phoneticPr fontId="1" type="noConversion"/>
  </si>
  <si>
    <t>엑스트라 객실</t>
    <phoneticPr fontId="1" type="noConversion"/>
  </si>
  <si>
    <t>객실 구분</t>
  </si>
  <si>
    <t>수량</t>
  </si>
  <si>
    <t>17평 1박</t>
  </si>
  <si>
    <t>17평 2박</t>
  </si>
  <si>
    <t>17평 3박</t>
  </si>
  <si>
    <t>25평 1박</t>
  </si>
  <si>
    <t>25평 2박</t>
  </si>
  <si>
    <t>25평 3박</t>
  </si>
  <si>
    <t>1박 객실</t>
  </si>
  <si>
    <t>장태범 부부</t>
    <phoneticPr fontId="1" type="noConversion"/>
  </si>
  <si>
    <t>김광모 교수</t>
    <phoneticPr fontId="1" type="noConversion"/>
  </si>
  <si>
    <t>정종문, 엄태항</t>
    <phoneticPr fontId="1" type="noConversion"/>
  </si>
  <si>
    <t>친교회코드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</si>
</sst>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176" formatCode="#,##0_ "/>
    <numFmt numFmtId="177" formatCode="0_);[Red]\(0\)"/>
  </numFmts>
  <fonts count="12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5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color theme="0" tint="-0.14999847407452621"/>
      <name val="맑은 고딕"/>
      <family val="2"/>
      <charset val="129"/>
      <scheme val="minor"/>
    </font>
    <font>
      <sz val="15"/>
      <color theme="1"/>
      <name val="나눔고딕"/>
      <family val="2"/>
      <charset val="129"/>
    </font>
    <font>
      <sz val="12"/>
      <color theme="1"/>
      <name val="나눔고딕"/>
      <family val="2"/>
      <charset val="129"/>
    </font>
    <font>
      <sz val="12"/>
      <color rgb="FFFF0000"/>
      <name val="나눔고딕"/>
      <family val="2"/>
      <charset val="129"/>
    </font>
    <font>
      <sz val="12"/>
      <color theme="7" tint="0.79998168889431442"/>
      <name val="나눔고딕"/>
      <family val="2"/>
      <charset val="129"/>
    </font>
    <font>
      <sz val="12"/>
      <color rgb="FFFF0000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2" fillId="0" borderId="0" applyFont="0" applyFill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8" fillId="0" borderId="0" xfId="0" applyFont="1">
      <alignment vertical="center"/>
    </xf>
    <xf numFmtId="0" fontId="8" fillId="0" borderId="0" xfId="0" applyFont="1" applyAlignment="1">
      <alignment horizontal="center" vertical="center"/>
    </xf>
    <xf numFmtId="41" fontId="8" fillId="0" borderId="0" xfId="1" applyFont="1">
      <alignment vertical="center"/>
    </xf>
    <xf numFmtId="0" fontId="8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41" fontId="8" fillId="0" borderId="1" xfId="1" applyFont="1" applyBorder="1">
      <alignment vertical="center"/>
    </xf>
    <xf numFmtId="0" fontId="7" fillId="0" borderId="0" xfId="0" applyFont="1">
      <alignment vertical="center"/>
    </xf>
    <xf numFmtId="0" fontId="8" fillId="0" borderId="2" xfId="0" applyFont="1" applyBorder="1" applyAlignment="1">
      <alignment horizontal="center" vertical="center"/>
    </xf>
    <xf numFmtId="0" fontId="8" fillId="2" borderId="1" xfId="0" applyFont="1" applyFill="1" applyBorder="1">
      <alignment vertical="center"/>
    </xf>
    <xf numFmtId="0" fontId="10" fillId="0" borderId="0" xfId="0" applyFont="1" applyAlignment="1">
      <alignment horizontal="center" vertical="center"/>
    </xf>
    <xf numFmtId="176" fontId="9" fillId="2" borderId="3" xfId="0" applyNumberFormat="1" applyFont="1" applyFill="1" applyBorder="1">
      <alignment vertical="center"/>
    </xf>
    <xf numFmtId="176" fontId="9" fillId="2" borderId="5" xfId="0" applyNumberFormat="1" applyFont="1" applyFill="1" applyBorder="1">
      <alignment vertical="center"/>
    </xf>
    <xf numFmtId="177" fontId="8" fillId="0" borderId="0" xfId="0" applyNumberFormat="1" applyFont="1" applyAlignment="1">
      <alignment horizontal="center" vertical="center"/>
    </xf>
    <xf numFmtId="177" fontId="8" fillId="0" borderId="0" xfId="1" applyNumberFormat="1" applyFont="1" applyAlignment="1">
      <alignment horizontal="center" vertical="center"/>
    </xf>
    <xf numFmtId="177" fontId="8" fillId="2" borderId="1" xfId="0" applyNumberFormat="1" applyFont="1" applyFill="1" applyBorder="1" applyAlignment="1">
      <alignment horizontal="center" vertical="center"/>
    </xf>
    <xf numFmtId="177" fontId="8" fillId="0" borderId="1" xfId="1" applyNumberFormat="1" applyFont="1" applyBorder="1" applyAlignment="1">
      <alignment horizontal="center" vertical="center"/>
    </xf>
    <xf numFmtId="177" fontId="8" fillId="0" borderId="1" xfId="0" applyNumberFormat="1" applyFont="1" applyBorder="1" applyAlignment="1">
      <alignment horizontal="center" vertical="center"/>
    </xf>
    <xf numFmtId="177" fontId="8" fillId="0" borderId="0" xfId="1" applyNumberFormat="1" applyFont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0" fillId="4" borderId="1" xfId="0" applyFill="1" applyBorder="1">
      <alignment vertical="center"/>
    </xf>
    <xf numFmtId="0" fontId="0" fillId="4" borderId="1" xfId="0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41" fontId="9" fillId="3" borderId="1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176" fontId="9" fillId="2" borderId="3" xfId="0" applyNumberFormat="1" applyFont="1" applyFill="1" applyBorder="1" applyAlignment="1">
      <alignment horizontal="center" vertical="center"/>
    </xf>
    <xf numFmtId="176" fontId="9" fillId="2" borderId="5" xfId="0" applyNumberFormat="1" applyFont="1" applyFill="1" applyBorder="1" applyAlignment="1">
      <alignment horizontal="center" vertical="center"/>
    </xf>
    <xf numFmtId="176" fontId="9" fillId="2" borderId="4" xfId="0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41" fontId="8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41" fontId="8" fillId="2" borderId="1" xfId="1" applyFont="1" applyFill="1" applyBorder="1" applyAlignment="1">
      <alignment horizontal="center" vertical="center"/>
    </xf>
    <xf numFmtId="41" fontId="9" fillId="0" borderId="1" xfId="0" applyNumberFormat="1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2" borderId="7" xfId="0" applyFont="1" applyFill="1" applyBorder="1" applyAlignment="1">
      <alignment horizontal="center" vertical="center"/>
    </xf>
    <xf numFmtId="0" fontId="11" fillId="2" borderId="8" xfId="0" applyFont="1" applyFill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/>
    </xf>
    <xf numFmtId="0" fontId="11" fillId="4" borderId="5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9BA25-1A27-DA44-B416-01ABCAF5C1D6}">
  <dimension ref="B1:K126"/>
  <sheetViews>
    <sheetView tabSelected="1" zoomScale="173" zoomScaleNormal="173" workbookViewId="0">
      <pane ySplit="2" topLeftCell="A92" activePane="bottomLeft" state="frozen"/>
      <selection pane="bottomLeft" activeCell="C8" sqref="C8"/>
    </sheetView>
  </sheetViews>
  <sheetFormatPr baseColWidth="10" defaultRowHeight="17"/>
  <cols>
    <col min="1" max="1" width="7.5703125" style="1" customWidth="1"/>
    <col min="2" max="2" width="12.5703125" style="1" customWidth="1"/>
    <col min="3" max="3" width="31.5703125" style="1" customWidth="1"/>
    <col min="4" max="7" width="9.140625" style="1" customWidth="1"/>
    <col min="8" max="8" width="7.7109375" style="1" customWidth="1"/>
    <col min="9" max="9" width="9.42578125" style="1" customWidth="1"/>
    <col min="10" max="10" width="6.85546875" style="1" customWidth="1"/>
    <col min="11" max="16384" width="10.7109375" style="1"/>
  </cols>
  <sheetData>
    <row r="1" spans="2:11" ht="22">
      <c r="B1" s="52" t="s">
        <v>132</v>
      </c>
      <c r="C1" s="52"/>
      <c r="D1" s="52"/>
      <c r="E1" s="52"/>
      <c r="F1" s="52"/>
      <c r="G1" s="52"/>
      <c r="H1" s="52"/>
      <c r="I1" s="52"/>
    </row>
    <row r="2" spans="2:11">
      <c r="B2" s="3" t="s">
        <v>6</v>
      </c>
      <c r="C2" s="3" t="s">
        <v>4</v>
      </c>
      <c r="D2" s="3" t="s">
        <v>69</v>
      </c>
      <c r="E2" s="3" t="s">
        <v>1</v>
      </c>
      <c r="F2" s="3" t="s">
        <v>2</v>
      </c>
      <c r="G2" s="3" t="s">
        <v>3</v>
      </c>
      <c r="H2" s="3" t="s">
        <v>5</v>
      </c>
      <c r="I2" s="3" t="s">
        <v>131</v>
      </c>
      <c r="J2" s="3" t="s">
        <v>119</v>
      </c>
      <c r="K2" s="1" t="s">
        <v>188</v>
      </c>
    </row>
    <row r="3" spans="2:11">
      <c r="B3" s="2" t="s">
        <v>7</v>
      </c>
      <c r="C3" s="2" t="s">
        <v>16</v>
      </c>
      <c r="D3" s="2">
        <v>2</v>
      </c>
      <c r="E3" s="2" t="s">
        <v>8</v>
      </c>
      <c r="F3" s="2">
        <v>17</v>
      </c>
      <c r="G3" s="2">
        <v>1218</v>
      </c>
      <c r="H3" s="2">
        <v>2</v>
      </c>
      <c r="I3" s="2"/>
      <c r="J3" s="2"/>
      <c r="K3" s="1">
        <v>1</v>
      </c>
    </row>
    <row r="4" spans="2:11">
      <c r="B4" s="2" t="s">
        <v>7</v>
      </c>
      <c r="C4" s="2" t="s">
        <v>24</v>
      </c>
      <c r="D4" s="2">
        <v>4</v>
      </c>
      <c r="E4" s="2" t="s">
        <v>0</v>
      </c>
      <c r="F4" s="2">
        <v>25</v>
      </c>
      <c r="G4" s="2">
        <v>2104</v>
      </c>
      <c r="H4" s="2">
        <v>2</v>
      </c>
      <c r="I4" s="2"/>
      <c r="J4" s="2"/>
      <c r="K4" s="1">
        <v>1</v>
      </c>
    </row>
    <row r="5" spans="2:11">
      <c r="B5" s="2" t="s">
        <v>7</v>
      </c>
      <c r="C5" s="2" t="s">
        <v>28</v>
      </c>
      <c r="D5" s="2">
        <v>3</v>
      </c>
      <c r="E5" s="2" t="s">
        <v>8</v>
      </c>
      <c r="F5" s="2">
        <v>25</v>
      </c>
      <c r="G5" s="2">
        <v>1203</v>
      </c>
      <c r="H5" s="2">
        <v>3</v>
      </c>
      <c r="I5" s="2"/>
      <c r="J5" s="2">
        <v>19</v>
      </c>
      <c r="K5" s="1">
        <v>1</v>
      </c>
    </row>
    <row r="6" spans="2:11">
      <c r="B6" s="2" t="s">
        <v>7</v>
      </c>
      <c r="C6" s="2" t="s">
        <v>18</v>
      </c>
      <c r="D6" s="2">
        <v>2</v>
      </c>
      <c r="E6" s="2" t="s">
        <v>8</v>
      </c>
      <c r="F6" s="2">
        <v>17</v>
      </c>
      <c r="G6" s="2">
        <v>1205</v>
      </c>
      <c r="H6" s="2">
        <v>1</v>
      </c>
      <c r="I6" s="2"/>
      <c r="J6" s="2"/>
      <c r="K6" s="1">
        <v>1</v>
      </c>
    </row>
    <row r="7" spans="2:11">
      <c r="B7" s="2" t="s">
        <v>7</v>
      </c>
      <c r="C7" s="2" t="s">
        <v>23</v>
      </c>
      <c r="D7" s="2">
        <v>4</v>
      </c>
      <c r="E7" s="2" t="s">
        <v>0</v>
      </c>
      <c r="F7" s="2">
        <v>25</v>
      </c>
      <c r="G7" s="2">
        <v>2103</v>
      </c>
      <c r="H7" s="2">
        <v>2</v>
      </c>
      <c r="I7" s="2"/>
      <c r="J7" s="2"/>
      <c r="K7" s="1">
        <v>1</v>
      </c>
    </row>
    <row r="8" spans="2:11">
      <c r="B8" s="2" t="s">
        <v>7</v>
      </c>
      <c r="C8" s="2" t="s">
        <v>9</v>
      </c>
      <c r="D8" s="2">
        <v>2</v>
      </c>
      <c r="E8" s="2" t="s">
        <v>8</v>
      </c>
      <c r="F8" s="2">
        <v>17</v>
      </c>
      <c r="G8" s="2">
        <v>1209</v>
      </c>
      <c r="H8" s="2">
        <v>2</v>
      </c>
      <c r="I8" s="2"/>
      <c r="J8" s="2"/>
      <c r="K8" s="1">
        <v>1</v>
      </c>
    </row>
    <row r="9" spans="2:11">
      <c r="B9" s="2" t="s">
        <v>7</v>
      </c>
      <c r="C9" s="2" t="s">
        <v>13</v>
      </c>
      <c r="D9" s="2">
        <v>2</v>
      </c>
      <c r="E9" s="2" t="s">
        <v>8</v>
      </c>
      <c r="F9" s="2">
        <v>17</v>
      </c>
      <c r="G9" s="2">
        <v>1201</v>
      </c>
      <c r="H9" s="2">
        <v>2</v>
      </c>
      <c r="I9" s="2"/>
      <c r="J9" s="2"/>
      <c r="K9" s="1">
        <v>1</v>
      </c>
    </row>
    <row r="10" spans="2:11">
      <c r="B10" s="2" t="s">
        <v>7</v>
      </c>
      <c r="C10" s="2" t="s">
        <v>17</v>
      </c>
      <c r="D10" s="2">
        <v>2</v>
      </c>
      <c r="E10" s="2" t="s">
        <v>8</v>
      </c>
      <c r="F10" s="2">
        <v>17</v>
      </c>
      <c r="G10" s="2">
        <v>1202</v>
      </c>
      <c r="H10" s="2">
        <v>2</v>
      </c>
      <c r="I10" s="2"/>
      <c r="J10" s="2"/>
      <c r="K10" s="1">
        <v>1</v>
      </c>
    </row>
    <row r="11" spans="2:11">
      <c r="B11" s="2" t="s">
        <v>7</v>
      </c>
      <c r="C11" s="2" t="s">
        <v>27</v>
      </c>
      <c r="D11" s="2">
        <v>4</v>
      </c>
      <c r="E11" s="2" t="s">
        <v>8</v>
      </c>
      <c r="F11" s="2">
        <v>25</v>
      </c>
      <c r="G11" s="2">
        <v>1208</v>
      </c>
      <c r="H11" s="2">
        <v>1</v>
      </c>
      <c r="I11" s="2"/>
      <c r="J11" s="2"/>
      <c r="K11" s="1">
        <v>1</v>
      </c>
    </row>
    <row r="12" spans="2:11">
      <c r="B12" s="2" t="s">
        <v>7</v>
      </c>
      <c r="C12" s="2" t="s">
        <v>26</v>
      </c>
      <c r="D12" s="2">
        <v>5</v>
      </c>
      <c r="E12" s="2" t="s">
        <v>0</v>
      </c>
      <c r="F12" s="2">
        <v>25</v>
      </c>
      <c r="G12" s="2">
        <v>2109</v>
      </c>
      <c r="H12" s="2">
        <v>2</v>
      </c>
      <c r="I12" s="2"/>
      <c r="J12" s="2"/>
      <c r="K12" s="1">
        <v>1</v>
      </c>
    </row>
    <row r="13" spans="2:11">
      <c r="B13" s="2" t="s">
        <v>7</v>
      </c>
      <c r="C13" s="2" t="s">
        <v>20</v>
      </c>
      <c r="D13" s="2">
        <v>2</v>
      </c>
      <c r="E13" s="2" t="s">
        <v>0</v>
      </c>
      <c r="F13" s="2">
        <v>17</v>
      </c>
      <c r="G13" s="2">
        <v>2102</v>
      </c>
      <c r="H13" s="2">
        <v>2</v>
      </c>
      <c r="I13" s="2"/>
      <c r="J13" s="2"/>
      <c r="K13" s="1">
        <v>1</v>
      </c>
    </row>
    <row r="14" spans="2:11">
      <c r="B14" s="2" t="s">
        <v>7</v>
      </c>
      <c r="C14" s="2" t="s">
        <v>22</v>
      </c>
      <c r="D14" s="2">
        <v>4</v>
      </c>
      <c r="E14" s="2" t="s">
        <v>0</v>
      </c>
      <c r="F14" s="2">
        <v>17</v>
      </c>
      <c r="G14" s="2">
        <v>2106</v>
      </c>
      <c r="H14" s="2">
        <v>3</v>
      </c>
      <c r="I14" s="2"/>
      <c r="J14" s="2">
        <v>19</v>
      </c>
      <c r="K14" s="1">
        <v>1</v>
      </c>
    </row>
    <row r="15" spans="2:11">
      <c r="B15" s="2" t="s">
        <v>7</v>
      </c>
      <c r="C15" s="2" t="s">
        <v>14</v>
      </c>
      <c r="D15" s="2">
        <v>2</v>
      </c>
      <c r="E15" s="2" t="s">
        <v>8</v>
      </c>
      <c r="F15" s="2">
        <v>17</v>
      </c>
      <c r="G15" s="2">
        <v>1211</v>
      </c>
      <c r="H15" s="2">
        <v>2</v>
      </c>
      <c r="I15" s="2"/>
      <c r="J15" s="2"/>
      <c r="K15" s="1">
        <v>1</v>
      </c>
    </row>
    <row r="16" spans="2:11">
      <c r="B16" s="2" t="s">
        <v>7</v>
      </c>
      <c r="C16" s="2" t="s">
        <v>140</v>
      </c>
      <c r="D16" s="2">
        <v>5</v>
      </c>
      <c r="E16" s="2" t="s">
        <v>0</v>
      </c>
      <c r="F16" s="2">
        <v>25</v>
      </c>
      <c r="G16" s="2">
        <v>2507</v>
      </c>
      <c r="H16" s="2">
        <v>1</v>
      </c>
      <c r="I16" s="2"/>
      <c r="J16" s="2"/>
      <c r="K16" s="1">
        <v>1</v>
      </c>
    </row>
    <row r="17" spans="2:11">
      <c r="B17" s="2" t="s">
        <v>7</v>
      </c>
      <c r="C17" s="2" t="s">
        <v>19</v>
      </c>
      <c r="D17" s="2">
        <v>2</v>
      </c>
      <c r="E17" s="2" t="s">
        <v>0</v>
      </c>
      <c r="F17" s="2">
        <v>17</v>
      </c>
      <c r="G17" s="2">
        <v>2101</v>
      </c>
      <c r="H17" s="2">
        <v>3</v>
      </c>
      <c r="I17" s="2"/>
      <c r="J17" s="2">
        <v>19</v>
      </c>
      <c r="K17" s="1">
        <v>1</v>
      </c>
    </row>
    <row r="18" spans="2:11">
      <c r="B18" s="2" t="s">
        <v>7</v>
      </c>
      <c r="C18" s="2" t="s">
        <v>21</v>
      </c>
      <c r="D18" s="2">
        <v>4</v>
      </c>
      <c r="E18" s="2" t="s">
        <v>0</v>
      </c>
      <c r="F18" s="2">
        <v>17</v>
      </c>
      <c r="G18" s="2">
        <v>2105</v>
      </c>
      <c r="H18" s="2">
        <v>3</v>
      </c>
      <c r="I18" s="2"/>
      <c r="J18" s="2">
        <v>19</v>
      </c>
      <c r="K18" s="1">
        <v>1</v>
      </c>
    </row>
    <row r="19" spans="2:11">
      <c r="B19" s="2" t="s">
        <v>7</v>
      </c>
      <c r="C19" s="2" t="s">
        <v>15</v>
      </c>
      <c r="D19" s="2">
        <v>2</v>
      </c>
      <c r="E19" s="2" t="s">
        <v>8</v>
      </c>
      <c r="F19" s="2">
        <v>17</v>
      </c>
      <c r="G19" s="2">
        <v>1214</v>
      </c>
      <c r="H19" s="2">
        <v>2</v>
      </c>
      <c r="I19" s="2"/>
      <c r="J19" s="2"/>
      <c r="K19" s="1">
        <v>1</v>
      </c>
    </row>
    <row r="20" spans="2:11">
      <c r="B20" s="2" t="s">
        <v>7</v>
      </c>
      <c r="C20" s="2" t="s">
        <v>10</v>
      </c>
      <c r="D20" s="2">
        <v>2</v>
      </c>
      <c r="E20" s="2" t="s">
        <v>8</v>
      </c>
      <c r="F20" s="2">
        <v>17</v>
      </c>
      <c r="G20" s="2">
        <v>1206</v>
      </c>
      <c r="H20" s="2">
        <v>3</v>
      </c>
      <c r="I20" s="2"/>
      <c r="J20" s="2">
        <v>19</v>
      </c>
      <c r="K20" s="1">
        <v>1</v>
      </c>
    </row>
    <row r="21" spans="2:11">
      <c r="B21" s="2" t="s">
        <v>7</v>
      </c>
      <c r="C21" s="2" t="s">
        <v>144</v>
      </c>
      <c r="D21" s="2">
        <v>2</v>
      </c>
      <c r="E21" s="2" t="s">
        <v>0</v>
      </c>
      <c r="F21" s="2">
        <v>17</v>
      </c>
      <c r="G21" s="2">
        <v>2602</v>
      </c>
      <c r="H21" s="2">
        <v>2</v>
      </c>
      <c r="I21" s="2"/>
      <c r="J21" s="2"/>
      <c r="K21" s="1">
        <v>1</v>
      </c>
    </row>
    <row r="22" spans="2:11">
      <c r="B22" s="2" t="s">
        <v>7</v>
      </c>
      <c r="C22" s="2" t="s">
        <v>25</v>
      </c>
      <c r="D22" s="2">
        <v>5</v>
      </c>
      <c r="E22" s="2" t="s">
        <v>0</v>
      </c>
      <c r="F22" s="2">
        <v>25</v>
      </c>
      <c r="G22" s="2">
        <v>2108</v>
      </c>
      <c r="H22" s="2">
        <v>2</v>
      </c>
      <c r="I22" s="2"/>
      <c r="J22" s="2"/>
      <c r="K22" s="1">
        <v>1</v>
      </c>
    </row>
    <row r="23" spans="2:11">
      <c r="B23" s="2" t="s">
        <v>7</v>
      </c>
      <c r="C23" s="2" t="s">
        <v>11</v>
      </c>
      <c r="D23" s="2">
        <v>2</v>
      </c>
      <c r="E23" s="2" t="s">
        <v>8</v>
      </c>
      <c r="F23" s="2">
        <v>17</v>
      </c>
      <c r="G23" s="2">
        <v>1215</v>
      </c>
      <c r="H23" s="2">
        <v>2</v>
      </c>
      <c r="I23" s="2"/>
      <c r="J23" s="2"/>
      <c r="K23" s="1">
        <v>1</v>
      </c>
    </row>
    <row r="24" spans="2:11">
      <c r="B24" s="2" t="s">
        <v>7</v>
      </c>
      <c r="C24" s="2" t="s">
        <v>12</v>
      </c>
      <c r="D24" s="2">
        <v>2</v>
      </c>
      <c r="E24" s="2" t="s">
        <v>8</v>
      </c>
      <c r="F24" s="2">
        <v>17</v>
      </c>
      <c r="G24" s="2">
        <v>1210</v>
      </c>
      <c r="H24" s="2">
        <v>2</v>
      </c>
      <c r="I24" s="2"/>
      <c r="J24" s="2"/>
      <c r="K24" s="1">
        <v>1</v>
      </c>
    </row>
    <row r="25" spans="2:11">
      <c r="B25" s="2" t="s">
        <v>29</v>
      </c>
      <c r="C25" s="2" t="s">
        <v>134</v>
      </c>
      <c r="D25" s="2">
        <v>3</v>
      </c>
      <c r="E25" s="2" t="s">
        <v>0</v>
      </c>
      <c r="F25" s="2">
        <v>25</v>
      </c>
      <c r="G25" s="2">
        <v>2203</v>
      </c>
      <c r="H25" s="2">
        <v>2</v>
      </c>
      <c r="I25" s="2"/>
      <c r="J25" s="2"/>
      <c r="K25" s="1">
        <v>2</v>
      </c>
    </row>
    <row r="26" spans="2:11">
      <c r="B26" s="2" t="s">
        <v>29</v>
      </c>
      <c r="C26" s="2" t="s">
        <v>45</v>
      </c>
      <c r="D26" s="2">
        <v>2</v>
      </c>
      <c r="E26" s="2" t="s">
        <v>0</v>
      </c>
      <c r="F26" s="2">
        <v>17</v>
      </c>
      <c r="G26" s="2">
        <v>2208</v>
      </c>
      <c r="H26" s="2">
        <v>2</v>
      </c>
      <c r="I26" s="2"/>
      <c r="J26" s="2"/>
      <c r="K26" s="1">
        <v>2</v>
      </c>
    </row>
    <row r="27" spans="2:11">
      <c r="B27" s="2" t="s">
        <v>29</v>
      </c>
      <c r="C27" s="2" t="s">
        <v>30</v>
      </c>
      <c r="D27" s="2">
        <v>2</v>
      </c>
      <c r="E27" s="2" t="s">
        <v>8</v>
      </c>
      <c r="F27" s="2">
        <v>17</v>
      </c>
      <c r="G27" s="2">
        <v>1309</v>
      </c>
      <c r="H27" s="2">
        <v>2</v>
      </c>
      <c r="I27" s="2"/>
      <c r="J27" s="2"/>
      <c r="K27" s="1">
        <v>2</v>
      </c>
    </row>
    <row r="28" spans="2:11">
      <c r="B28" s="2" t="s">
        <v>29</v>
      </c>
      <c r="C28" s="2" t="s">
        <v>41</v>
      </c>
      <c r="D28" s="2">
        <v>3</v>
      </c>
      <c r="E28" s="2" t="s">
        <v>8</v>
      </c>
      <c r="F28" s="2">
        <v>25</v>
      </c>
      <c r="G28" s="2">
        <v>1608</v>
      </c>
      <c r="H28" s="60">
        <v>3</v>
      </c>
      <c r="I28" s="2"/>
      <c r="J28" s="2">
        <v>22</v>
      </c>
      <c r="K28" s="1">
        <v>2</v>
      </c>
    </row>
    <row r="29" spans="2:11">
      <c r="B29" s="2" t="s">
        <v>29</v>
      </c>
      <c r="C29" s="2" t="s">
        <v>133</v>
      </c>
      <c r="D29" s="2">
        <v>2</v>
      </c>
      <c r="E29" s="2" t="s">
        <v>0</v>
      </c>
      <c r="F29" s="2">
        <v>17</v>
      </c>
      <c r="G29" s="2">
        <v>2501</v>
      </c>
      <c r="H29" s="2">
        <v>2</v>
      </c>
      <c r="I29" s="2"/>
      <c r="J29" s="2"/>
      <c r="K29" s="1">
        <v>2</v>
      </c>
    </row>
    <row r="30" spans="2:11">
      <c r="B30" s="2" t="s">
        <v>29</v>
      </c>
      <c r="C30" s="2" t="s">
        <v>43</v>
      </c>
      <c r="D30" s="2">
        <v>2</v>
      </c>
      <c r="E30" s="2" t="s">
        <v>0</v>
      </c>
      <c r="F30" s="2">
        <v>17</v>
      </c>
      <c r="G30" s="2">
        <v>2206</v>
      </c>
      <c r="H30" s="2">
        <v>2</v>
      </c>
      <c r="I30" s="2"/>
      <c r="J30" s="2"/>
      <c r="K30" s="1">
        <v>2</v>
      </c>
    </row>
    <row r="31" spans="2:11">
      <c r="B31" s="2" t="s">
        <v>29</v>
      </c>
      <c r="C31" s="2" t="s">
        <v>31</v>
      </c>
      <c r="D31" s="2">
        <v>2</v>
      </c>
      <c r="E31" s="2" t="s">
        <v>8</v>
      </c>
      <c r="F31" s="2">
        <v>17</v>
      </c>
      <c r="G31" s="2">
        <v>1301</v>
      </c>
      <c r="H31" s="2">
        <v>2</v>
      </c>
      <c r="I31" s="2"/>
      <c r="J31" s="2"/>
      <c r="K31" s="1">
        <v>2</v>
      </c>
    </row>
    <row r="32" spans="2:11">
      <c r="B32" s="2" t="s">
        <v>29</v>
      </c>
      <c r="C32" s="2" t="s">
        <v>37</v>
      </c>
      <c r="D32" s="2">
        <v>4</v>
      </c>
      <c r="E32" s="2" t="s">
        <v>8</v>
      </c>
      <c r="F32" s="2">
        <v>25</v>
      </c>
      <c r="G32" s="2">
        <v>1216</v>
      </c>
      <c r="H32" s="2">
        <v>2</v>
      </c>
      <c r="I32" s="2"/>
      <c r="J32" s="2"/>
      <c r="K32" s="1">
        <v>2</v>
      </c>
    </row>
    <row r="33" spans="2:11">
      <c r="B33" s="2" t="s">
        <v>29</v>
      </c>
      <c r="C33" s="2" t="s">
        <v>36</v>
      </c>
      <c r="D33" s="2">
        <v>2</v>
      </c>
      <c r="E33" s="2" t="s">
        <v>8</v>
      </c>
      <c r="F33" s="2">
        <v>25</v>
      </c>
      <c r="G33" s="2">
        <v>1412</v>
      </c>
      <c r="H33" s="2">
        <v>3</v>
      </c>
      <c r="I33" s="2"/>
      <c r="J33" s="2">
        <v>19</v>
      </c>
      <c r="K33" s="1">
        <v>2</v>
      </c>
    </row>
    <row r="34" spans="2:11">
      <c r="B34" s="2" t="s">
        <v>29</v>
      </c>
      <c r="C34" s="2" t="s">
        <v>44</v>
      </c>
      <c r="D34" s="2">
        <v>2</v>
      </c>
      <c r="E34" s="2" t="s">
        <v>0</v>
      </c>
      <c r="F34" s="2">
        <v>17</v>
      </c>
      <c r="G34" s="2">
        <v>2107</v>
      </c>
      <c r="H34" s="2">
        <v>2</v>
      </c>
      <c r="I34" s="2"/>
      <c r="J34" s="2"/>
      <c r="K34" s="1">
        <v>2</v>
      </c>
    </row>
    <row r="35" spans="2:11">
      <c r="B35" s="2" t="s">
        <v>29</v>
      </c>
      <c r="C35" s="2" t="s">
        <v>145</v>
      </c>
      <c r="D35" s="2">
        <v>2</v>
      </c>
      <c r="E35" s="2" t="s">
        <v>8</v>
      </c>
      <c r="F35" s="2">
        <v>25</v>
      </c>
      <c r="G35" s="2">
        <v>1511</v>
      </c>
      <c r="H35" s="2">
        <v>2</v>
      </c>
      <c r="I35" s="2"/>
      <c r="J35" s="2"/>
      <c r="K35" s="1">
        <v>2</v>
      </c>
    </row>
    <row r="36" spans="2:11">
      <c r="B36" s="2" t="s">
        <v>29</v>
      </c>
      <c r="C36" s="2" t="s">
        <v>46</v>
      </c>
      <c r="D36" s="2">
        <v>2</v>
      </c>
      <c r="E36" s="2" t="s">
        <v>0</v>
      </c>
      <c r="F36" s="2">
        <v>17</v>
      </c>
      <c r="G36" s="2">
        <v>2207</v>
      </c>
      <c r="H36" s="2">
        <v>2</v>
      </c>
      <c r="I36" s="2"/>
      <c r="J36" s="2"/>
      <c r="K36" s="1">
        <v>2</v>
      </c>
    </row>
    <row r="37" spans="2:11">
      <c r="B37" s="2" t="s">
        <v>29</v>
      </c>
      <c r="C37" s="2" t="s">
        <v>50</v>
      </c>
      <c r="D37" s="2">
        <v>4</v>
      </c>
      <c r="E37" s="2" t="s">
        <v>0</v>
      </c>
      <c r="F37" s="2">
        <v>25</v>
      </c>
      <c r="G37" s="2">
        <v>2204</v>
      </c>
      <c r="H37" s="2">
        <v>2</v>
      </c>
      <c r="I37" s="2"/>
      <c r="J37" s="2"/>
      <c r="K37" s="1">
        <v>2</v>
      </c>
    </row>
    <row r="38" spans="2:11">
      <c r="B38" s="2" t="s">
        <v>29</v>
      </c>
      <c r="C38" s="2" t="s">
        <v>48</v>
      </c>
      <c r="D38" s="2">
        <v>2</v>
      </c>
      <c r="E38" s="2" t="s">
        <v>0</v>
      </c>
      <c r="F38" s="2">
        <v>17</v>
      </c>
      <c r="G38" s="2">
        <v>2202</v>
      </c>
      <c r="H38" s="2">
        <v>2</v>
      </c>
      <c r="I38" s="2"/>
      <c r="J38" s="2"/>
      <c r="K38" s="1">
        <v>2</v>
      </c>
    </row>
    <row r="39" spans="2:11">
      <c r="B39" s="2" t="s">
        <v>29</v>
      </c>
      <c r="C39" s="2" t="s">
        <v>40</v>
      </c>
      <c r="D39" s="2">
        <v>4</v>
      </c>
      <c r="E39" s="2" t="s">
        <v>8</v>
      </c>
      <c r="F39" s="2">
        <v>25</v>
      </c>
      <c r="G39" s="2">
        <v>1212</v>
      </c>
      <c r="H39" s="2">
        <v>2</v>
      </c>
      <c r="I39" s="2"/>
      <c r="J39" s="2"/>
      <c r="K39" s="1">
        <v>2</v>
      </c>
    </row>
    <row r="40" spans="2:11">
      <c r="B40" s="2" t="s">
        <v>29</v>
      </c>
      <c r="C40" s="2" t="s">
        <v>47</v>
      </c>
      <c r="D40" s="2">
        <v>2</v>
      </c>
      <c r="E40" s="2" t="s">
        <v>0</v>
      </c>
      <c r="F40" s="2">
        <v>17</v>
      </c>
      <c r="G40" s="2">
        <v>2201</v>
      </c>
      <c r="H40" s="2">
        <v>2</v>
      </c>
      <c r="I40" s="2"/>
      <c r="J40" s="2"/>
      <c r="K40" s="1">
        <v>2</v>
      </c>
    </row>
    <row r="41" spans="2:11">
      <c r="B41" s="2" t="s">
        <v>29</v>
      </c>
      <c r="C41" s="2" t="s">
        <v>32</v>
      </c>
      <c r="D41" s="2">
        <v>2</v>
      </c>
      <c r="E41" s="2" t="s">
        <v>8</v>
      </c>
      <c r="F41" s="2">
        <v>17</v>
      </c>
      <c r="G41" s="2">
        <v>1306</v>
      </c>
      <c r="H41" s="2">
        <v>2</v>
      </c>
      <c r="I41" s="2"/>
      <c r="J41" s="2"/>
      <c r="K41" s="1">
        <v>2</v>
      </c>
    </row>
    <row r="42" spans="2:11">
      <c r="B42" s="2" t="s">
        <v>29</v>
      </c>
      <c r="C42" s="2" t="s">
        <v>34</v>
      </c>
      <c r="D42" s="2">
        <v>2</v>
      </c>
      <c r="E42" s="2" t="s">
        <v>8</v>
      </c>
      <c r="F42" s="2">
        <v>17</v>
      </c>
      <c r="G42" s="2">
        <v>1318</v>
      </c>
      <c r="H42" s="2">
        <v>2</v>
      </c>
      <c r="I42" s="2"/>
      <c r="J42" s="2"/>
      <c r="K42" s="1">
        <v>2</v>
      </c>
    </row>
    <row r="43" spans="2:11">
      <c r="B43" s="2" t="s">
        <v>29</v>
      </c>
      <c r="C43" s="2" t="s">
        <v>49</v>
      </c>
      <c r="D43" s="2">
        <v>4</v>
      </c>
      <c r="E43" s="2" t="s">
        <v>0</v>
      </c>
      <c r="F43" s="2">
        <v>25</v>
      </c>
      <c r="G43" s="2">
        <v>2209</v>
      </c>
      <c r="H43" s="2">
        <v>2</v>
      </c>
      <c r="I43" s="2"/>
      <c r="J43" s="2"/>
      <c r="K43" s="1">
        <v>2</v>
      </c>
    </row>
    <row r="44" spans="2:11">
      <c r="B44" s="2" t="s">
        <v>29</v>
      </c>
      <c r="C44" s="2" t="s">
        <v>33</v>
      </c>
      <c r="D44" s="2">
        <v>2</v>
      </c>
      <c r="E44" s="2" t="s">
        <v>8</v>
      </c>
      <c r="F44" s="2">
        <v>17</v>
      </c>
      <c r="G44" s="2">
        <v>1310</v>
      </c>
      <c r="H44" s="2">
        <v>2</v>
      </c>
      <c r="I44" s="2"/>
      <c r="J44" s="2"/>
      <c r="K44" s="1">
        <v>2</v>
      </c>
    </row>
    <row r="45" spans="2:11">
      <c r="B45" s="2" t="s">
        <v>29</v>
      </c>
      <c r="C45" s="2" t="s">
        <v>39</v>
      </c>
      <c r="D45" s="2">
        <v>3</v>
      </c>
      <c r="E45" s="2" t="s">
        <v>8</v>
      </c>
      <c r="F45" s="2">
        <v>25</v>
      </c>
      <c r="G45" s="2">
        <v>1204</v>
      </c>
      <c r="H45" s="2">
        <v>2</v>
      </c>
      <c r="I45" s="2"/>
      <c r="J45" s="2"/>
      <c r="K45" s="1">
        <v>2</v>
      </c>
    </row>
    <row r="46" spans="2:11">
      <c r="B46" s="2" t="s">
        <v>29</v>
      </c>
      <c r="C46" s="2" t="s">
        <v>38</v>
      </c>
      <c r="D46" s="2">
        <v>4</v>
      </c>
      <c r="E46" s="2" t="s">
        <v>8</v>
      </c>
      <c r="F46" s="2">
        <v>25</v>
      </c>
      <c r="G46" s="2">
        <v>1207</v>
      </c>
      <c r="H46" s="2">
        <v>2</v>
      </c>
      <c r="I46" s="2"/>
      <c r="J46" s="2"/>
      <c r="K46" s="1">
        <v>2</v>
      </c>
    </row>
    <row r="47" spans="2:11">
      <c r="B47" s="2" t="s">
        <v>29</v>
      </c>
      <c r="C47" s="2" t="s">
        <v>35</v>
      </c>
      <c r="D47" s="2">
        <v>4</v>
      </c>
      <c r="E47" s="2" t="s">
        <v>8</v>
      </c>
      <c r="F47" s="2">
        <v>25</v>
      </c>
      <c r="G47" s="2">
        <v>1217</v>
      </c>
      <c r="H47" s="2">
        <v>2</v>
      </c>
      <c r="I47" s="2"/>
      <c r="J47" s="2"/>
      <c r="K47" s="1">
        <v>2</v>
      </c>
    </row>
    <row r="48" spans="2:11">
      <c r="B48" s="2" t="s">
        <v>29</v>
      </c>
      <c r="C48" s="2" t="s">
        <v>42</v>
      </c>
      <c r="D48" s="2">
        <v>4</v>
      </c>
      <c r="E48" s="2" t="s">
        <v>8</v>
      </c>
      <c r="F48" s="2">
        <v>25</v>
      </c>
      <c r="G48" s="2">
        <v>1609</v>
      </c>
      <c r="H48" s="2">
        <v>3</v>
      </c>
      <c r="I48" s="2"/>
      <c r="J48" s="2">
        <v>22</v>
      </c>
      <c r="K48" s="1">
        <v>2</v>
      </c>
    </row>
    <row r="49" spans="2:11">
      <c r="B49" s="2" t="s">
        <v>51</v>
      </c>
      <c r="C49" s="2" t="s">
        <v>53</v>
      </c>
      <c r="D49" s="2">
        <v>2</v>
      </c>
      <c r="E49" s="2" t="s">
        <v>8</v>
      </c>
      <c r="F49" s="2">
        <v>17</v>
      </c>
      <c r="G49" s="2">
        <v>1408</v>
      </c>
      <c r="H49" s="2">
        <v>2</v>
      </c>
      <c r="I49" s="2"/>
      <c r="J49" s="2"/>
      <c r="K49" s="1">
        <v>3</v>
      </c>
    </row>
    <row r="50" spans="2:11">
      <c r="B50" s="2" t="s">
        <v>51</v>
      </c>
      <c r="C50" s="2" t="s">
        <v>52</v>
      </c>
      <c r="D50" s="2">
        <v>2</v>
      </c>
      <c r="E50" s="2" t="s">
        <v>8</v>
      </c>
      <c r="F50" s="2">
        <v>17</v>
      </c>
      <c r="G50" s="2">
        <v>1401</v>
      </c>
      <c r="H50" s="2">
        <v>2</v>
      </c>
      <c r="I50" s="2"/>
      <c r="J50" s="2"/>
      <c r="K50" s="1">
        <v>3</v>
      </c>
    </row>
    <row r="51" spans="2:11">
      <c r="B51" s="2" t="s">
        <v>51</v>
      </c>
      <c r="C51" s="2" t="s">
        <v>57</v>
      </c>
      <c r="D51" s="2">
        <v>2</v>
      </c>
      <c r="E51" s="2" t="s">
        <v>8</v>
      </c>
      <c r="F51" s="2">
        <v>17</v>
      </c>
      <c r="G51" s="2">
        <v>1315</v>
      </c>
      <c r="H51" s="2">
        <v>2</v>
      </c>
      <c r="I51" s="2"/>
      <c r="J51" s="2"/>
      <c r="K51" s="1">
        <v>3</v>
      </c>
    </row>
    <row r="52" spans="2:11">
      <c r="B52" s="2" t="s">
        <v>51</v>
      </c>
      <c r="C52" s="2" t="s">
        <v>55</v>
      </c>
      <c r="D52" s="2">
        <v>2</v>
      </c>
      <c r="E52" s="2" t="s">
        <v>8</v>
      </c>
      <c r="F52" s="2">
        <v>17</v>
      </c>
      <c r="G52" s="2">
        <v>1409</v>
      </c>
      <c r="H52" s="2">
        <v>3</v>
      </c>
      <c r="I52" s="2"/>
      <c r="J52" s="2">
        <v>19</v>
      </c>
      <c r="K52" s="1">
        <v>3</v>
      </c>
    </row>
    <row r="53" spans="2:11">
      <c r="B53" s="2" t="s">
        <v>51</v>
      </c>
      <c r="C53" s="2" t="s">
        <v>58</v>
      </c>
      <c r="D53" s="2">
        <v>2</v>
      </c>
      <c r="E53" s="2" t="s">
        <v>0</v>
      </c>
      <c r="F53" s="2">
        <v>17</v>
      </c>
      <c r="G53" s="2">
        <v>2308</v>
      </c>
      <c r="H53" s="2">
        <v>2</v>
      </c>
      <c r="I53" s="2"/>
      <c r="J53" s="2"/>
      <c r="K53" s="1">
        <v>3</v>
      </c>
    </row>
    <row r="54" spans="2:11">
      <c r="B54" s="2" t="s">
        <v>51</v>
      </c>
      <c r="C54" s="2" t="s">
        <v>56</v>
      </c>
      <c r="D54" s="2">
        <v>2</v>
      </c>
      <c r="E54" s="2" t="s">
        <v>8</v>
      </c>
      <c r="F54" s="2">
        <v>17</v>
      </c>
      <c r="G54" s="2">
        <v>1407</v>
      </c>
      <c r="H54" s="2">
        <v>2</v>
      </c>
      <c r="I54" s="2"/>
      <c r="J54" s="2"/>
      <c r="K54" s="1">
        <v>3</v>
      </c>
    </row>
    <row r="55" spans="2:11">
      <c r="B55" s="2" t="s">
        <v>51</v>
      </c>
      <c r="C55" s="2" t="s">
        <v>137</v>
      </c>
      <c r="D55" s="2">
        <v>2</v>
      </c>
      <c r="E55" s="2" t="s">
        <v>0</v>
      </c>
      <c r="F55" s="2">
        <v>17</v>
      </c>
      <c r="G55" s="2">
        <v>2502</v>
      </c>
      <c r="H55" s="2">
        <v>2</v>
      </c>
      <c r="I55" s="2"/>
      <c r="J55" s="2"/>
      <c r="K55" s="1">
        <v>3</v>
      </c>
    </row>
    <row r="56" spans="2:11">
      <c r="B56" s="2" t="s">
        <v>51</v>
      </c>
      <c r="C56" s="2" t="s">
        <v>54</v>
      </c>
      <c r="D56" s="2">
        <v>2</v>
      </c>
      <c r="E56" s="2" t="s">
        <v>8</v>
      </c>
      <c r="F56" s="2">
        <v>17</v>
      </c>
      <c r="G56" s="2">
        <v>1311</v>
      </c>
      <c r="H56" s="2">
        <v>2</v>
      </c>
      <c r="I56" s="2"/>
      <c r="J56" s="2"/>
      <c r="K56" s="1">
        <v>3</v>
      </c>
    </row>
    <row r="57" spans="2:11">
      <c r="B57" s="2" t="s">
        <v>51</v>
      </c>
      <c r="C57" s="2" t="s">
        <v>59</v>
      </c>
      <c r="D57" s="2">
        <v>4</v>
      </c>
      <c r="E57" s="2" t="s">
        <v>0</v>
      </c>
      <c r="F57" s="2">
        <v>17</v>
      </c>
      <c r="G57" s="2">
        <v>2305</v>
      </c>
      <c r="H57" s="2">
        <v>2</v>
      </c>
      <c r="I57" s="2"/>
      <c r="J57" s="2"/>
      <c r="K57" s="1">
        <v>3</v>
      </c>
    </row>
    <row r="58" spans="2:11">
      <c r="B58" s="2" t="s">
        <v>51</v>
      </c>
      <c r="C58" s="2" t="s">
        <v>66</v>
      </c>
      <c r="D58" s="2">
        <v>4</v>
      </c>
      <c r="E58" s="2" t="s">
        <v>8</v>
      </c>
      <c r="F58" s="2">
        <v>25</v>
      </c>
      <c r="G58" s="2">
        <v>1312</v>
      </c>
      <c r="H58" s="2">
        <v>3</v>
      </c>
      <c r="I58" s="2"/>
      <c r="J58" s="2">
        <v>19</v>
      </c>
      <c r="K58" s="1">
        <v>3</v>
      </c>
    </row>
    <row r="59" spans="2:11" s="5" customFormat="1">
      <c r="B59" s="2" t="s">
        <v>51</v>
      </c>
      <c r="C59" s="2" t="s">
        <v>67</v>
      </c>
      <c r="D59" s="2">
        <v>4</v>
      </c>
      <c r="E59" s="2" t="s">
        <v>8</v>
      </c>
      <c r="F59" s="2">
        <v>25</v>
      </c>
      <c r="G59" s="2">
        <v>1313</v>
      </c>
      <c r="H59" s="2">
        <v>2</v>
      </c>
      <c r="I59" s="2"/>
      <c r="J59" s="2"/>
      <c r="K59" s="1">
        <v>3</v>
      </c>
    </row>
    <row r="60" spans="2:11">
      <c r="B60" s="2" t="s">
        <v>51</v>
      </c>
      <c r="C60" s="2" t="s">
        <v>148</v>
      </c>
      <c r="D60" s="2">
        <v>2</v>
      </c>
      <c r="E60" s="2" t="s">
        <v>8</v>
      </c>
      <c r="F60" s="2">
        <v>17</v>
      </c>
      <c r="G60" s="2">
        <v>1501</v>
      </c>
      <c r="H60" s="2">
        <v>2</v>
      </c>
      <c r="I60" s="2"/>
      <c r="J60" s="2"/>
      <c r="K60" s="1">
        <v>3</v>
      </c>
    </row>
    <row r="61" spans="2:11">
      <c r="B61" s="4" t="s">
        <v>51</v>
      </c>
      <c r="C61" s="4" t="s">
        <v>63</v>
      </c>
      <c r="D61" s="4">
        <v>2</v>
      </c>
      <c r="E61" s="4" t="s">
        <v>8</v>
      </c>
      <c r="F61" s="4">
        <v>25</v>
      </c>
      <c r="G61" s="4">
        <v>1213</v>
      </c>
      <c r="H61" s="4">
        <v>2</v>
      </c>
      <c r="I61" s="4"/>
      <c r="J61" s="4"/>
      <c r="K61" s="1">
        <v>3</v>
      </c>
    </row>
    <row r="62" spans="2:11">
      <c r="B62" s="2" t="s">
        <v>51</v>
      </c>
      <c r="C62" s="2" t="s">
        <v>60</v>
      </c>
      <c r="D62" s="2">
        <v>4</v>
      </c>
      <c r="E62" s="2" t="s">
        <v>0</v>
      </c>
      <c r="F62" s="2">
        <v>17</v>
      </c>
      <c r="G62" s="2">
        <v>2306</v>
      </c>
      <c r="H62" s="2">
        <v>2</v>
      </c>
      <c r="I62" s="2"/>
      <c r="J62" s="2"/>
      <c r="K62" s="1">
        <v>3</v>
      </c>
    </row>
    <row r="63" spans="2:11">
      <c r="B63" s="2" t="s">
        <v>51</v>
      </c>
      <c r="C63" s="2" t="s">
        <v>68</v>
      </c>
      <c r="D63" s="2">
        <v>3</v>
      </c>
      <c r="E63" s="2" t="s">
        <v>0</v>
      </c>
      <c r="F63" s="2">
        <v>25</v>
      </c>
      <c r="G63" s="2">
        <v>2304</v>
      </c>
      <c r="H63" s="2">
        <v>2</v>
      </c>
      <c r="I63" s="2"/>
      <c r="J63" s="2"/>
      <c r="K63" s="1">
        <v>3</v>
      </c>
    </row>
    <row r="64" spans="2:11">
      <c r="B64" s="2" t="s">
        <v>51</v>
      </c>
      <c r="C64" s="2" t="s">
        <v>62</v>
      </c>
      <c r="D64" s="2">
        <v>3</v>
      </c>
      <c r="E64" s="2" t="s">
        <v>8</v>
      </c>
      <c r="F64" s="2">
        <v>25</v>
      </c>
      <c r="G64" s="2">
        <v>1303</v>
      </c>
      <c r="H64" s="2">
        <v>2</v>
      </c>
      <c r="I64" s="2"/>
      <c r="J64" s="2"/>
      <c r="K64" s="1">
        <v>3</v>
      </c>
    </row>
    <row r="65" spans="2:11">
      <c r="B65" s="2" t="s">
        <v>51</v>
      </c>
      <c r="C65" s="2" t="s">
        <v>61</v>
      </c>
      <c r="D65" s="2">
        <v>5</v>
      </c>
      <c r="E65" s="2" t="s">
        <v>0</v>
      </c>
      <c r="F65" s="2">
        <v>17</v>
      </c>
      <c r="G65" s="2">
        <v>2307</v>
      </c>
      <c r="H65" s="2">
        <v>2</v>
      </c>
      <c r="I65" s="2"/>
      <c r="J65" s="2"/>
      <c r="K65" s="1">
        <v>3</v>
      </c>
    </row>
    <row r="66" spans="2:11">
      <c r="B66" s="2" t="s">
        <v>51</v>
      </c>
      <c r="C66" s="2" t="s">
        <v>141</v>
      </c>
      <c r="D66" s="2">
        <v>3</v>
      </c>
      <c r="E66" s="2" t="s">
        <v>0</v>
      </c>
      <c r="F66" s="2">
        <v>17</v>
      </c>
      <c r="G66" s="2">
        <v>2605</v>
      </c>
      <c r="H66" s="2">
        <v>2</v>
      </c>
      <c r="I66" s="2"/>
      <c r="J66" s="2"/>
      <c r="K66" s="1">
        <v>3</v>
      </c>
    </row>
    <row r="67" spans="2:11">
      <c r="B67" s="2" t="s">
        <v>51</v>
      </c>
      <c r="C67" s="2" t="s">
        <v>64</v>
      </c>
      <c r="D67" s="2">
        <v>4</v>
      </c>
      <c r="E67" s="2" t="s">
        <v>8</v>
      </c>
      <c r="F67" s="2">
        <v>25</v>
      </c>
      <c r="G67" s="2">
        <v>1317</v>
      </c>
      <c r="H67" s="2">
        <v>2</v>
      </c>
      <c r="I67" s="2"/>
      <c r="J67" s="2"/>
      <c r="K67" s="1">
        <v>3</v>
      </c>
    </row>
    <row r="68" spans="2:11">
      <c r="B68" s="2" t="s">
        <v>51</v>
      </c>
      <c r="C68" s="2" t="s">
        <v>65</v>
      </c>
      <c r="D68" s="2">
        <v>3</v>
      </c>
      <c r="E68" s="2" t="s">
        <v>8</v>
      </c>
      <c r="F68" s="2">
        <v>25</v>
      </c>
      <c r="G68" s="2">
        <v>1316</v>
      </c>
      <c r="H68" s="2">
        <v>2</v>
      </c>
      <c r="I68" s="2"/>
      <c r="J68" s="2"/>
      <c r="K68" s="1">
        <v>3</v>
      </c>
    </row>
    <row r="69" spans="2:11">
      <c r="B69" s="2" t="s">
        <v>70</v>
      </c>
      <c r="C69" s="2" t="s">
        <v>75</v>
      </c>
      <c r="D69" s="2">
        <v>2</v>
      </c>
      <c r="E69" s="2" t="s">
        <v>8</v>
      </c>
      <c r="F69" s="2">
        <v>17</v>
      </c>
      <c r="G69" s="2">
        <v>1505</v>
      </c>
      <c r="H69" s="2">
        <v>2</v>
      </c>
      <c r="I69" s="2"/>
      <c r="J69" s="2"/>
      <c r="K69" s="1">
        <v>4</v>
      </c>
    </row>
    <row r="70" spans="2:11">
      <c r="B70" s="2" t="s">
        <v>70</v>
      </c>
      <c r="C70" s="2" t="s">
        <v>74</v>
      </c>
      <c r="D70" s="2">
        <v>2</v>
      </c>
      <c r="E70" s="2" t="s">
        <v>8</v>
      </c>
      <c r="F70" s="2">
        <v>17</v>
      </c>
      <c r="G70" s="2">
        <v>1402</v>
      </c>
      <c r="H70" s="2">
        <v>2</v>
      </c>
      <c r="I70" s="2"/>
      <c r="J70" s="2"/>
      <c r="K70" s="1">
        <v>4</v>
      </c>
    </row>
    <row r="71" spans="2:11">
      <c r="B71" s="2" t="s">
        <v>70</v>
      </c>
      <c r="C71" s="2" t="s">
        <v>71</v>
      </c>
      <c r="D71" s="2">
        <v>3</v>
      </c>
      <c r="E71" s="2" t="s">
        <v>8</v>
      </c>
      <c r="F71" s="2">
        <v>17</v>
      </c>
      <c r="G71" s="2">
        <v>1514</v>
      </c>
      <c r="H71" s="2">
        <v>2</v>
      </c>
      <c r="I71" s="2"/>
      <c r="J71" s="2"/>
      <c r="K71" s="1">
        <v>4</v>
      </c>
    </row>
    <row r="72" spans="2:11">
      <c r="B72" s="2" t="s">
        <v>70</v>
      </c>
      <c r="C72" s="2" t="s">
        <v>80</v>
      </c>
      <c r="D72" s="2">
        <v>4</v>
      </c>
      <c r="E72" s="2" t="s">
        <v>0</v>
      </c>
      <c r="F72" s="2">
        <v>25</v>
      </c>
      <c r="G72" s="2">
        <v>2309</v>
      </c>
      <c r="H72" s="2">
        <v>2</v>
      </c>
      <c r="I72" s="2"/>
      <c r="J72" s="2"/>
      <c r="K72" s="1">
        <v>4</v>
      </c>
    </row>
    <row r="73" spans="2:11">
      <c r="B73" s="2" t="s">
        <v>70</v>
      </c>
      <c r="C73" s="2" t="s">
        <v>73</v>
      </c>
      <c r="D73" s="2">
        <v>2</v>
      </c>
      <c r="E73" s="2" t="s">
        <v>8</v>
      </c>
      <c r="F73" s="2">
        <v>17</v>
      </c>
      <c r="G73" s="2">
        <v>1414</v>
      </c>
      <c r="H73" s="2">
        <v>2</v>
      </c>
      <c r="I73" s="2"/>
      <c r="J73" s="2"/>
      <c r="K73" s="1">
        <v>4</v>
      </c>
    </row>
    <row r="74" spans="2:11">
      <c r="B74" s="2" t="s">
        <v>70</v>
      </c>
      <c r="C74" s="2" t="s">
        <v>81</v>
      </c>
      <c r="D74" s="2">
        <v>2</v>
      </c>
      <c r="E74" s="2" t="s">
        <v>8</v>
      </c>
      <c r="F74" s="2">
        <v>17</v>
      </c>
      <c r="G74" s="2">
        <v>1507</v>
      </c>
      <c r="H74" s="2">
        <v>2</v>
      </c>
      <c r="I74" s="2"/>
      <c r="J74" s="2"/>
      <c r="K74" s="1">
        <v>4</v>
      </c>
    </row>
    <row r="75" spans="2:11" s="5" customFormat="1">
      <c r="B75" s="2" t="s">
        <v>70</v>
      </c>
      <c r="C75" s="2" t="s">
        <v>78</v>
      </c>
      <c r="D75" s="2">
        <v>4</v>
      </c>
      <c r="E75" s="2" t="s">
        <v>8</v>
      </c>
      <c r="F75" s="2">
        <v>25</v>
      </c>
      <c r="G75" s="2">
        <v>1413</v>
      </c>
      <c r="H75" s="2">
        <v>2</v>
      </c>
      <c r="I75" s="2"/>
      <c r="J75" s="2"/>
      <c r="K75" s="1">
        <v>4</v>
      </c>
    </row>
    <row r="76" spans="2:11">
      <c r="B76" s="2" t="s">
        <v>70</v>
      </c>
      <c r="C76" s="2" t="s">
        <v>72</v>
      </c>
      <c r="D76" s="2">
        <v>3</v>
      </c>
      <c r="E76" s="2" t="s">
        <v>8</v>
      </c>
      <c r="F76" s="2">
        <v>17</v>
      </c>
      <c r="G76" s="2">
        <v>1305</v>
      </c>
      <c r="H76" s="2">
        <v>3</v>
      </c>
      <c r="I76" s="2"/>
      <c r="J76" s="2">
        <v>19</v>
      </c>
      <c r="K76" s="1">
        <v>4</v>
      </c>
    </row>
    <row r="77" spans="2:11">
      <c r="B77" s="2" t="s">
        <v>70</v>
      </c>
      <c r="C77" s="2" t="s">
        <v>79</v>
      </c>
      <c r="D77" s="2">
        <v>4</v>
      </c>
      <c r="E77" s="2" t="s">
        <v>8</v>
      </c>
      <c r="F77" s="2">
        <v>25</v>
      </c>
      <c r="G77" s="2">
        <v>1404</v>
      </c>
      <c r="H77" s="2">
        <v>2</v>
      </c>
      <c r="I77" s="2"/>
      <c r="J77" s="2"/>
      <c r="K77" s="1">
        <v>4</v>
      </c>
    </row>
    <row r="78" spans="2:11" s="5" customFormat="1">
      <c r="B78" s="2" t="s">
        <v>70</v>
      </c>
      <c r="C78" s="2" t="s">
        <v>76</v>
      </c>
      <c r="D78" s="2">
        <v>1</v>
      </c>
      <c r="E78" s="2" t="s">
        <v>8</v>
      </c>
      <c r="F78" s="2">
        <v>17</v>
      </c>
      <c r="G78" s="2">
        <v>1314</v>
      </c>
      <c r="H78" s="2">
        <v>2</v>
      </c>
      <c r="I78" s="2"/>
      <c r="J78" s="2"/>
      <c r="K78" s="1">
        <v>4</v>
      </c>
    </row>
    <row r="79" spans="2:11">
      <c r="B79" s="2" t="s">
        <v>70</v>
      </c>
      <c r="C79" s="2" t="s">
        <v>147</v>
      </c>
      <c r="D79" s="2">
        <v>2</v>
      </c>
      <c r="E79" s="2" t="s">
        <v>8</v>
      </c>
      <c r="F79" s="2">
        <v>25</v>
      </c>
      <c r="G79" s="2">
        <v>1307</v>
      </c>
      <c r="H79" s="2">
        <v>1</v>
      </c>
      <c r="I79" s="4"/>
      <c r="J79" s="4"/>
      <c r="K79" s="1">
        <v>4</v>
      </c>
    </row>
    <row r="80" spans="2:11">
      <c r="B80" s="2" t="s">
        <v>70</v>
      </c>
      <c r="C80" s="2" t="s">
        <v>77</v>
      </c>
      <c r="D80" s="2">
        <v>4</v>
      </c>
      <c r="E80" s="2" t="s">
        <v>8</v>
      </c>
      <c r="F80" s="2">
        <v>25</v>
      </c>
      <c r="G80" s="2">
        <v>1405</v>
      </c>
      <c r="H80" s="2">
        <v>2</v>
      </c>
      <c r="I80" s="2"/>
      <c r="J80" s="2"/>
      <c r="K80" s="1">
        <v>4</v>
      </c>
    </row>
    <row r="81" spans="2:11">
      <c r="B81" s="2" t="s">
        <v>82</v>
      </c>
      <c r="C81" s="2" t="s">
        <v>85</v>
      </c>
      <c r="D81" s="2">
        <v>4</v>
      </c>
      <c r="E81" s="2" t="s">
        <v>8</v>
      </c>
      <c r="F81" s="2">
        <v>25</v>
      </c>
      <c r="G81" s="2">
        <v>1406</v>
      </c>
      <c r="H81" s="2">
        <v>2</v>
      </c>
      <c r="I81" s="2"/>
      <c r="J81" s="2"/>
      <c r="K81" s="1">
        <v>5</v>
      </c>
    </row>
    <row r="82" spans="2:11">
      <c r="B82" s="2" t="s">
        <v>82</v>
      </c>
      <c r="C82" s="2" t="s">
        <v>83</v>
      </c>
      <c r="D82" s="2">
        <v>2</v>
      </c>
      <c r="E82" s="2" t="s">
        <v>8</v>
      </c>
      <c r="F82" s="2">
        <v>17</v>
      </c>
      <c r="G82" s="2">
        <v>1502</v>
      </c>
      <c r="H82" s="2">
        <v>2</v>
      </c>
      <c r="I82" s="2"/>
      <c r="J82" s="2"/>
      <c r="K82" s="1">
        <v>5</v>
      </c>
    </row>
    <row r="83" spans="2:11">
      <c r="B83" s="2" t="s">
        <v>82</v>
      </c>
      <c r="C83" s="2" t="s">
        <v>86</v>
      </c>
      <c r="D83" s="2">
        <v>4</v>
      </c>
      <c r="E83" s="2" t="s">
        <v>0</v>
      </c>
      <c r="F83" s="2">
        <v>25</v>
      </c>
      <c r="G83" s="2">
        <v>2310</v>
      </c>
      <c r="H83" s="2">
        <v>2</v>
      </c>
      <c r="I83" s="2"/>
      <c r="J83" s="2"/>
      <c r="K83" s="1">
        <v>5</v>
      </c>
    </row>
    <row r="84" spans="2:11">
      <c r="B84" s="2" t="s">
        <v>82</v>
      </c>
      <c r="C84" s="2" t="s">
        <v>84</v>
      </c>
      <c r="D84" s="2">
        <v>2</v>
      </c>
      <c r="E84" s="2" t="s">
        <v>0</v>
      </c>
      <c r="F84" s="2">
        <v>17</v>
      </c>
      <c r="G84" s="2">
        <v>2301</v>
      </c>
      <c r="H84" s="2">
        <v>2</v>
      </c>
      <c r="I84" s="2"/>
      <c r="J84" s="2"/>
      <c r="K84" s="1">
        <v>5</v>
      </c>
    </row>
    <row r="85" spans="2:11">
      <c r="B85" s="2" t="s">
        <v>87</v>
      </c>
      <c r="C85" s="2" t="s">
        <v>92</v>
      </c>
      <c r="D85" s="2">
        <v>5</v>
      </c>
      <c r="E85" s="2" t="s">
        <v>0</v>
      </c>
      <c r="F85" s="2">
        <v>17</v>
      </c>
      <c r="G85" s="2">
        <v>2405</v>
      </c>
      <c r="H85" s="2">
        <v>2</v>
      </c>
      <c r="I85" s="2"/>
      <c r="J85" s="2"/>
      <c r="K85" s="1">
        <v>6</v>
      </c>
    </row>
    <row r="86" spans="2:11">
      <c r="B86" s="2" t="s">
        <v>87</v>
      </c>
      <c r="C86" s="2" t="s">
        <v>91</v>
      </c>
      <c r="D86" s="2">
        <v>3</v>
      </c>
      <c r="E86" s="2" t="s">
        <v>0</v>
      </c>
      <c r="F86" s="2">
        <v>17</v>
      </c>
      <c r="G86" s="2">
        <v>2302</v>
      </c>
      <c r="H86" s="2">
        <v>2</v>
      </c>
      <c r="I86" s="2"/>
      <c r="J86" s="2"/>
      <c r="K86" s="1">
        <v>6</v>
      </c>
    </row>
    <row r="87" spans="2:11">
      <c r="B87" s="2" t="s">
        <v>87</v>
      </c>
      <c r="C87" s="2" t="s">
        <v>90</v>
      </c>
      <c r="D87" s="2">
        <v>4</v>
      </c>
      <c r="E87" s="2" t="s">
        <v>8</v>
      </c>
      <c r="F87" s="2">
        <v>17</v>
      </c>
      <c r="G87" s="2">
        <v>2505</v>
      </c>
      <c r="H87" s="2">
        <v>2</v>
      </c>
      <c r="I87" s="2"/>
      <c r="J87" s="2"/>
      <c r="K87" s="1">
        <v>6</v>
      </c>
    </row>
    <row r="88" spans="2:11">
      <c r="B88" s="2" t="s">
        <v>87</v>
      </c>
      <c r="C88" s="2" t="s">
        <v>93</v>
      </c>
      <c r="D88" s="2">
        <v>4</v>
      </c>
      <c r="E88" s="2" t="s">
        <v>8</v>
      </c>
      <c r="F88" s="2">
        <v>25</v>
      </c>
      <c r="G88" s="2">
        <v>1403</v>
      </c>
      <c r="H88" s="2">
        <v>2</v>
      </c>
      <c r="I88" s="2"/>
      <c r="J88" s="2"/>
      <c r="K88" s="1">
        <v>6</v>
      </c>
    </row>
    <row r="89" spans="2:11">
      <c r="B89" s="2" t="s">
        <v>87</v>
      </c>
      <c r="C89" s="2" t="s">
        <v>89</v>
      </c>
      <c r="D89" s="2">
        <v>2</v>
      </c>
      <c r="E89" s="2" t="s">
        <v>8</v>
      </c>
      <c r="F89" s="2">
        <v>17</v>
      </c>
      <c r="G89" s="2">
        <v>1509</v>
      </c>
      <c r="H89" s="2">
        <v>2</v>
      </c>
      <c r="I89" s="2"/>
      <c r="J89" s="2"/>
      <c r="K89" s="1">
        <v>6</v>
      </c>
    </row>
    <row r="90" spans="2:11">
      <c r="B90" s="2" t="s">
        <v>87</v>
      </c>
      <c r="C90" s="2" t="s">
        <v>94</v>
      </c>
      <c r="D90" s="2">
        <v>4</v>
      </c>
      <c r="E90" s="2" t="s">
        <v>8</v>
      </c>
      <c r="F90" s="2">
        <v>25</v>
      </c>
      <c r="G90" s="2">
        <v>1410</v>
      </c>
      <c r="H90" s="2">
        <v>2</v>
      </c>
      <c r="I90" s="2"/>
      <c r="J90" s="2"/>
      <c r="K90" s="1">
        <v>6</v>
      </c>
    </row>
    <row r="91" spans="2:11">
      <c r="B91" s="2" t="s">
        <v>87</v>
      </c>
      <c r="C91" s="2" t="s">
        <v>95</v>
      </c>
      <c r="D91" s="2">
        <v>3</v>
      </c>
      <c r="E91" s="2" t="s">
        <v>0</v>
      </c>
      <c r="F91" s="2">
        <v>25</v>
      </c>
      <c r="G91" s="2">
        <v>2303</v>
      </c>
      <c r="H91" s="2">
        <v>2</v>
      </c>
      <c r="I91" s="2"/>
      <c r="J91" s="2"/>
      <c r="K91" s="1">
        <v>6</v>
      </c>
    </row>
    <row r="92" spans="2:11">
      <c r="B92" s="2" t="s">
        <v>87</v>
      </c>
      <c r="C92" s="2" t="s">
        <v>88</v>
      </c>
      <c r="D92" s="2">
        <v>2</v>
      </c>
      <c r="E92" s="2" t="s">
        <v>8</v>
      </c>
      <c r="F92" s="2">
        <v>17</v>
      </c>
      <c r="G92" s="2">
        <v>1508</v>
      </c>
      <c r="H92" s="2">
        <v>2</v>
      </c>
      <c r="I92" s="2"/>
      <c r="J92" s="2"/>
      <c r="K92" s="1">
        <v>6</v>
      </c>
    </row>
    <row r="93" spans="2:11">
      <c r="B93" s="2" t="s">
        <v>96</v>
      </c>
      <c r="C93" s="2" t="s">
        <v>105</v>
      </c>
      <c r="D93" s="2">
        <v>3</v>
      </c>
      <c r="E93" s="2" t="s">
        <v>0</v>
      </c>
      <c r="F93" s="2">
        <v>25</v>
      </c>
      <c r="G93" s="2">
        <v>2404</v>
      </c>
      <c r="H93" s="2">
        <v>2</v>
      </c>
      <c r="I93" s="2"/>
      <c r="J93" s="2"/>
      <c r="K93" s="1">
        <v>7</v>
      </c>
    </row>
    <row r="94" spans="2:11">
      <c r="B94" s="2" t="s">
        <v>96</v>
      </c>
      <c r="C94" s="2" t="s">
        <v>104</v>
      </c>
      <c r="D94" s="2">
        <v>2</v>
      </c>
      <c r="E94" s="2" t="s">
        <v>0</v>
      </c>
      <c r="F94" s="2">
        <v>17</v>
      </c>
      <c r="G94" s="2">
        <v>2408</v>
      </c>
      <c r="H94" s="2">
        <v>2</v>
      </c>
      <c r="I94" s="2"/>
      <c r="J94" s="2"/>
      <c r="K94" s="1">
        <v>7</v>
      </c>
    </row>
    <row r="95" spans="2:11">
      <c r="B95" s="2" t="s">
        <v>96</v>
      </c>
      <c r="C95" s="2" t="s">
        <v>139</v>
      </c>
      <c r="D95" s="2">
        <v>4</v>
      </c>
      <c r="E95" s="2" t="s">
        <v>0</v>
      </c>
      <c r="F95" s="2">
        <v>25</v>
      </c>
      <c r="G95" s="2">
        <v>2403</v>
      </c>
      <c r="H95" s="2">
        <v>2</v>
      </c>
      <c r="I95" s="2"/>
      <c r="J95" s="2"/>
      <c r="K95" s="1">
        <v>7</v>
      </c>
    </row>
    <row r="96" spans="2:11">
      <c r="B96" s="2" t="s">
        <v>96</v>
      </c>
      <c r="C96" s="2" t="s">
        <v>97</v>
      </c>
      <c r="D96" s="2">
        <v>2</v>
      </c>
      <c r="E96" s="2" t="s">
        <v>8</v>
      </c>
      <c r="F96" s="2">
        <v>17</v>
      </c>
      <c r="G96" s="2">
        <v>1605</v>
      </c>
      <c r="H96" s="2">
        <v>2</v>
      </c>
      <c r="I96" s="2"/>
      <c r="J96" s="2"/>
      <c r="K96" s="1">
        <v>7</v>
      </c>
    </row>
    <row r="97" spans="2:11">
      <c r="B97" s="2" t="s">
        <v>96</v>
      </c>
      <c r="C97" s="2" t="s">
        <v>100</v>
      </c>
      <c r="D97" s="2">
        <v>2</v>
      </c>
      <c r="E97" s="2" t="s">
        <v>8</v>
      </c>
      <c r="F97" s="2">
        <v>17</v>
      </c>
      <c r="G97" s="2">
        <v>1607</v>
      </c>
      <c r="H97" s="2">
        <v>2</v>
      </c>
      <c r="I97" s="2"/>
      <c r="J97" s="2"/>
      <c r="K97" s="1">
        <v>7</v>
      </c>
    </row>
    <row r="98" spans="2:11">
      <c r="B98" s="2" t="s">
        <v>96</v>
      </c>
      <c r="C98" s="2" t="s">
        <v>138</v>
      </c>
      <c r="D98" s="2">
        <v>4</v>
      </c>
      <c r="E98" s="2" t="s">
        <v>0</v>
      </c>
      <c r="F98" s="2">
        <v>25</v>
      </c>
      <c r="G98" s="2">
        <v>2409</v>
      </c>
      <c r="H98" s="2">
        <v>2</v>
      </c>
      <c r="I98" s="2"/>
      <c r="J98" s="2"/>
      <c r="K98" s="1">
        <v>7</v>
      </c>
    </row>
    <row r="99" spans="2:11">
      <c r="B99" s="2" t="s">
        <v>96</v>
      </c>
      <c r="C99" s="2" t="s">
        <v>136</v>
      </c>
      <c r="D99" s="2">
        <v>2</v>
      </c>
      <c r="E99" s="2" t="s">
        <v>8</v>
      </c>
      <c r="F99" s="2">
        <v>25</v>
      </c>
      <c r="G99" s="2">
        <v>1411</v>
      </c>
      <c r="H99" s="2">
        <v>2</v>
      </c>
      <c r="I99" s="2"/>
      <c r="J99" s="2"/>
      <c r="K99" s="1">
        <v>7</v>
      </c>
    </row>
    <row r="100" spans="2:11">
      <c r="B100" s="2" t="s">
        <v>96</v>
      </c>
      <c r="C100" s="2" t="s">
        <v>102</v>
      </c>
      <c r="D100" s="2">
        <v>4</v>
      </c>
      <c r="E100" s="2" t="s">
        <v>0</v>
      </c>
      <c r="F100" s="2">
        <v>17</v>
      </c>
      <c r="G100" s="2">
        <v>2406</v>
      </c>
      <c r="H100" s="2">
        <v>2</v>
      </c>
      <c r="I100" s="2"/>
      <c r="J100" s="2"/>
      <c r="K100" s="1">
        <v>7</v>
      </c>
    </row>
    <row r="101" spans="2:11">
      <c r="B101" s="2" t="s">
        <v>96</v>
      </c>
      <c r="C101" s="2" t="s">
        <v>106</v>
      </c>
      <c r="D101" s="2">
        <v>2</v>
      </c>
      <c r="E101" s="2" t="s">
        <v>8</v>
      </c>
      <c r="F101" s="2">
        <v>17</v>
      </c>
      <c r="G101" s="2">
        <v>1601</v>
      </c>
      <c r="H101" s="2">
        <v>2</v>
      </c>
      <c r="I101" s="2"/>
      <c r="J101" s="2"/>
      <c r="K101" s="1">
        <v>7</v>
      </c>
    </row>
    <row r="102" spans="2:11">
      <c r="B102" s="2" t="s">
        <v>96</v>
      </c>
      <c r="C102" s="2" t="s">
        <v>143</v>
      </c>
      <c r="D102" s="2">
        <v>2</v>
      </c>
      <c r="E102" s="2" t="s">
        <v>8</v>
      </c>
      <c r="F102" s="2">
        <v>17</v>
      </c>
      <c r="G102" s="2">
        <v>1606</v>
      </c>
      <c r="H102" s="2">
        <v>2</v>
      </c>
      <c r="I102" s="2"/>
      <c r="J102" s="2"/>
      <c r="K102" s="1">
        <v>7</v>
      </c>
    </row>
    <row r="103" spans="2:11">
      <c r="B103" s="4" t="s">
        <v>96</v>
      </c>
      <c r="C103" s="4" t="s">
        <v>185</v>
      </c>
      <c r="D103" s="4">
        <v>2</v>
      </c>
      <c r="E103" s="4" t="s">
        <v>8</v>
      </c>
      <c r="F103" s="4">
        <v>25</v>
      </c>
      <c r="G103" s="4">
        <v>1506</v>
      </c>
      <c r="H103" s="4">
        <v>2</v>
      </c>
      <c r="I103" s="2"/>
      <c r="J103" s="2"/>
      <c r="K103" s="1">
        <v>7</v>
      </c>
    </row>
    <row r="104" spans="2:11">
      <c r="B104" s="2" t="s">
        <v>96</v>
      </c>
      <c r="C104" s="2" t="s">
        <v>98</v>
      </c>
      <c r="D104" s="2">
        <v>2</v>
      </c>
      <c r="E104" s="2" t="s">
        <v>8</v>
      </c>
      <c r="F104" s="2">
        <v>17</v>
      </c>
      <c r="G104" s="2">
        <v>1610</v>
      </c>
      <c r="H104" s="2">
        <v>2</v>
      </c>
      <c r="I104" s="2"/>
      <c r="J104" s="2"/>
      <c r="K104" s="1">
        <v>7</v>
      </c>
    </row>
    <row r="105" spans="2:11">
      <c r="B105" s="2" t="s">
        <v>96</v>
      </c>
      <c r="C105" s="2" t="s">
        <v>99</v>
      </c>
      <c r="D105" s="2">
        <v>2</v>
      </c>
      <c r="E105" s="2" t="s">
        <v>8</v>
      </c>
      <c r="F105" s="2">
        <v>17</v>
      </c>
      <c r="G105" s="2">
        <v>1302</v>
      </c>
      <c r="H105" s="2">
        <v>3</v>
      </c>
      <c r="I105" s="2"/>
      <c r="J105" s="2">
        <v>19</v>
      </c>
      <c r="K105" s="1">
        <v>7</v>
      </c>
    </row>
    <row r="106" spans="2:11">
      <c r="B106" s="2" t="s">
        <v>96</v>
      </c>
      <c r="C106" s="2" t="s">
        <v>103</v>
      </c>
      <c r="D106" s="2">
        <v>4</v>
      </c>
      <c r="E106" s="2" t="s">
        <v>0</v>
      </c>
      <c r="F106" s="2">
        <v>17</v>
      </c>
      <c r="G106" s="2">
        <v>2407</v>
      </c>
      <c r="H106" s="2">
        <v>2</v>
      </c>
      <c r="I106" s="2"/>
      <c r="J106" s="2"/>
      <c r="K106" s="1">
        <v>7</v>
      </c>
    </row>
    <row r="107" spans="2:11">
      <c r="B107" s="2" t="s">
        <v>96</v>
      </c>
      <c r="C107" s="2" t="s">
        <v>101</v>
      </c>
      <c r="D107" s="2">
        <v>4</v>
      </c>
      <c r="E107" s="2" t="s">
        <v>8</v>
      </c>
      <c r="F107" s="2">
        <v>25</v>
      </c>
      <c r="G107" s="2">
        <v>1513</v>
      </c>
      <c r="H107" s="2">
        <v>2</v>
      </c>
      <c r="I107" s="2"/>
      <c r="J107" s="2"/>
      <c r="K107" s="1">
        <v>7</v>
      </c>
    </row>
    <row r="108" spans="2:11">
      <c r="B108" s="2" t="s">
        <v>107</v>
      </c>
      <c r="C108" s="2" t="s">
        <v>110</v>
      </c>
      <c r="D108" s="2">
        <v>3</v>
      </c>
      <c r="E108" s="2" t="s">
        <v>8</v>
      </c>
      <c r="F108" s="2">
        <v>25</v>
      </c>
      <c r="G108" s="2">
        <v>1504</v>
      </c>
      <c r="H108" s="2">
        <v>3</v>
      </c>
      <c r="I108" s="2"/>
      <c r="J108" s="2">
        <v>19</v>
      </c>
      <c r="K108" s="1">
        <v>8</v>
      </c>
    </row>
    <row r="109" spans="2:11">
      <c r="B109" s="2" t="s">
        <v>107</v>
      </c>
      <c r="C109" s="2" t="s">
        <v>186</v>
      </c>
      <c r="D109" s="2">
        <v>2</v>
      </c>
      <c r="E109" s="2" t="s">
        <v>0</v>
      </c>
      <c r="F109" s="2">
        <v>17</v>
      </c>
      <c r="G109" s="2">
        <v>2205</v>
      </c>
      <c r="H109" s="2">
        <v>2</v>
      </c>
      <c r="I109" s="4"/>
      <c r="J109" s="4"/>
      <c r="K109" s="1">
        <v>8</v>
      </c>
    </row>
    <row r="110" spans="2:11">
      <c r="B110" s="2" t="s">
        <v>107</v>
      </c>
      <c r="C110" s="2" t="s">
        <v>142</v>
      </c>
      <c r="D110" s="2">
        <v>2</v>
      </c>
      <c r="E110" s="2" t="s">
        <v>0</v>
      </c>
      <c r="F110" s="2">
        <v>17</v>
      </c>
      <c r="G110" s="2">
        <v>2401</v>
      </c>
      <c r="H110" s="2">
        <v>2</v>
      </c>
      <c r="I110" s="2"/>
      <c r="J110" s="2"/>
      <c r="K110" s="1">
        <v>8</v>
      </c>
    </row>
    <row r="111" spans="2:11">
      <c r="B111" s="2" t="s">
        <v>107</v>
      </c>
      <c r="C111" s="2" t="s">
        <v>108</v>
      </c>
      <c r="D111" s="2">
        <v>1</v>
      </c>
      <c r="E111" s="2" t="s">
        <v>8</v>
      </c>
      <c r="F111" s="2">
        <v>17</v>
      </c>
      <c r="G111" s="2">
        <v>1602</v>
      </c>
      <c r="H111" s="2">
        <v>2</v>
      </c>
      <c r="I111" s="2"/>
      <c r="J111" s="2"/>
      <c r="K111" s="1">
        <v>8</v>
      </c>
    </row>
    <row r="112" spans="2:11">
      <c r="B112" s="2" t="s">
        <v>107</v>
      </c>
      <c r="C112" s="2" t="s">
        <v>146</v>
      </c>
      <c r="D112" s="2">
        <v>4</v>
      </c>
      <c r="E112" s="2" t="s">
        <v>0</v>
      </c>
      <c r="F112" s="2">
        <v>17</v>
      </c>
      <c r="G112" s="2">
        <v>2601</v>
      </c>
      <c r="H112" s="2">
        <v>2</v>
      </c>
      <c r="I112" s="2"/>
      <c r="J112" s="2"/>
      <c r="K112" s="1">
        <v>8</v>
      </c>
    </row>
    <row r="113" spans="2:11">
      <c r="B113" s="2" t="s">
        <v>107</v>
      </c>
      <c r="C113" s="2" t="s">
        <v>187</v>
      </c>
      <c r="D113" s="2">
        <v>2</v>
      </c>
      <c r="E113" s="2" t="s">
        <v>8</v>
      </c>
      <c r="F113" s="2">
        <v>25</v>
      </c>
      <c r="G113" s="2">
        <v>1512</v>
      </c>
      <c r="H113" s="2">
        <v>2</v>
      </c>
      <c r="I113" s="2"/>
      <c r="J113" s="2"/>
      <c r="K113" s="1">
        <v>8</v>
      </c>
    </row>
    <row r="114" spans="2:11">
      <c r="B114" s="2" t="s">
        <v>107</v>
      </c>
      <c r="C114" s="2" t="s">
        <v>111</v>
      </c>
      <c r="D114" s="2">
        <v>3</v>
      </c>
      <c r="E114" s="2" t="s">
        <v>8</v>
      </c>
      <c r="F114" s="2">
        <v>25</v>
      </c>
      <c r="G114" s="2">
        <v>1503</v>
      </c>
      <c r="H114" s="2">
        <v>2</v>
      </c>
      <c r="I114" s="2"/>
      <c r="J114" s="2"/>
      <c r="K114" s="1">
        <v>8</v>
      </c>
    </row>
    <row r="115" spans="2:11" s="5" customFormat="1">
      <c r="B115" s="2" t="s">
        <v>107</v>
      </c>
      <c r="C115" s="2" t="s">
        <v>109</v>
      </c>
      <c r="D115" s="2">
        <v>2</v>
      </c>
      <c r="E115" s="2" t="s">
        <v>0</v>
      </c>
      <c r="F115" s="2">
        <v>17</v>
      </c>
      <c r="G115" s="2">
        <v>2402</v>
      </c>
      <c r="H115" s="2">
        <v>2</v>
      </c>
      <c r="I115" s="2"/>
      <c r="J115" s="2"/>
      <c r="K115" s="1">
        <v>8</v>
      </c>
    </row>
    <row r="116" spans="2:11">
      <c r="B116" s="4" t="s">
        <v>135</v>
      </c>
      <c r="C116" s="4"/>
      <c r="D116" s="4"/>
      <c r="E116" s="4" t="s">
        <v>8</v>
      </c>
      <c r="F116" s="4">
        <v>25</v>
      </c>
      <c r="G116" s="4">
        <v>1304</v>
      </c>
      <c r="H116" s="4"/>
      <c r="I116" s="4"/>
      <c r="J116" s="4"/>
      <c r="K116" s="1">
        <v>9</v>
      </c>
    </row>
    <row r="117" spans="2:11">
      <c r="B117" s="4" t="s">
        <v>135</v>
      </c>
      <c r="C117" s="4"/>
      <c r="D117" s="4"/>
      <c r="E117" s="4" t="s">
        <v>8</v>
      </c>
      <c r="F117" s="4">
        <v>25</v>
      </c>
      <c r="G117" s="4">
        <v>1308</v>
      </c>
      <c r="H117" s="4"/>
      <c r="I117" s="4"/>
      <c r="J117" s="4"/>
      <c r="K117" s="1">
        <v>9</v>
      </c>
    </row>
    <row r="118" spans="2:11">
      <c r="B118" s="6"/>
      <c r="C118" s="6"/>
      <c r="D118" s="6"/>
      <c r="E118" s="6" t="s">
        <v>0</v>
      </c>
      <c r="F118" s="6">
        <v>25</v>
      </c>
      <c r="G118" s="6">
        <v>1510</v>
      </c>
      <c r="H118" s="6"/>
      <c r="I118" s="6"/>
      <c r="J118" s="6"/>
      <c r="K118" s="1">
        <v>9</v>
      </c>
    </row>
    <row r="119" spans="2:11">
      <c r="B119" s="6"/>
      <c r="C119" s="6"/>
      <c r="D119" s="6"/>
      <c r="E119" s="6" t="s">
        <v>0</v>
      </c>
      <c r="F119" s="6">
        <v>25</v>
      </c>
      <c r="G119" s="6">
        <v>2503</v>
      </c>
      <c r="H119" s="6"/>
      <c r="I119" s="6"/>
      <c r="J119" s="6"/>
      <c r="K119" s="1">
        <v>9</v>
      </c>
    </row>
    <row r="120" spans="2:11">
      <c r="B120" s="6"/>
      <c r="C120" s="6"/>
      <c r="D120" s="6"/>
      <c r="E120" s="6" t="s">
        <v>0</v>
      </c>
      <c r="F120" s="6">
        <v>25</v>
      </c>
      <c r="G120" s="6">
        <v>2504</v>
      </c>
      <c r="H120" s="6"/>
      <c r="I120" s="6"/>
      <c r="J120" s="6"/>
      <c r="K120" s="1">
        <v>9</v>
      </c>
    </row>
    <row r="121" spans="2:11">
      <c r="B121" s="6"/>
      <c r="C121" s="6"/>
      <c r="D121" s="6"/>
      <c r="E121" s="6" t="s">
        <v>0</v>
      </c>
      <c r="F121" s="6">
        <v>25</v>
      </c>
      <c r="G121" s="6">
        <v>2508</v>
      </c>
      <c r="H121" s="6"/>
      <c r="I121" s="6"/>
      <c r="J121" s="6"/>
      <c r="K121" s="1">
        <v>9</v>
      </c>
    </row>
    <row r="122" spans="2:11">
      <c r="B122" s="6"/>
      <c r="C122" s="6"/>
      <c r="D122" s="6"/>
      <c r="E122" s="6" t="s">
        <v>0</v>
      </c>
      <c r="F122" s="6">
        <v>25</v>
      </c>
      <c r="G122" s="6">
        <v>2603</v>
      </c>
      <c r="H122" s="6"/>
      <c r="I122" s="6"/>
      <c r="J122" s="6"/>
      <c r="K122" s="1">
        <v>9</v>
      </c>
    </row>
    <row r="123" spans="2:11">
      <c r="B123" s="6"/>
      <c r="C123" s="6"/>
      <c r="D123" s="6"/>
      <c r="E123" s="6" t="s">
        <v>0</v>
      </c>
      <c r="F123" s="6">
        <v>25</v>
      </c>
      <c r="G123" s="6">
        <v>2604</v>
      </c>
      <c r="H123" s="6"/>
      <c r="I123" s="6"/>
      <c r="J123" s="6"/>
      <c r="K123" s="1">
        <v>9</v>
      </c>
    </row>
    <row r="124" spans="2:11">
      <c r="B124" s="6"/>
      <c r="C124" s="6"/>
      <c r="D124" s="6"/>
      <c r="E124" s="6" t="s">
        <v>0</v>
      </c>
      <c r="F124" s="6">
        <v>25</v>
      </c>
      <c r="G124" s="6">
        <v>2607</v>
      </c>
      <c r="H124" s="6"/>
      <c r="I124" s="6"/>
      <c r="J124" s="6"/>
      <c r="K124" s="1">
        <v>9</v>
      </c>
    </row>
    <row r="125" spans="2:11" s="5" customFormat="1">
      <c r="B125" s="6"/>
      <c r="C125" s="6"/>
      <c r="D125" s="6"/>
      <c r="E125" s="6" t="s">
        <v>0</v>
      </c>
      <c r="F125" s="6">
        <v>25</v>
      </c>
      <c r="G125" s="6">
        <v>2608</v>
      </c>
      <c r="H125" s="6"/>
      <c r="I125" s="6"/>
      <c r="J125" s="6"/>
      <c r="K125" s="1">
        <v>9</v>
      </c>
    </row>
    <row r="126" spans="2:11">
      <c r="B126" s="6"/>
      <c r="C126" s="6"/>
      <c r="D126" s="6"/>
      <c r="E126" s="6" t="s">
        <v>0</v>
      </c>
      <c r="F126" s="6">
        <v>25</v>
      </c>
      <c r="G126" s="6">
        <v>2210</v>
      </c>
      <c r="H126" s="6"/>
      <c r="I126" s="6"/>
      <c r="J126" s="6"/>
      <c r="K126" s="1">
        <v>9</v>
      </c>
    </row>
  </sheetData>
  <autoFilter ref="B2:I126" xr:uid="{F739BA25-1A27-DA44-B416-01ABCAF5C1D6}"/>
  <sortState xmlns:xlrd2="http://schemas.microsoft.com/office/spreadsheetml/2017/richdata2" ref="B3:K127">
    <sortCondition ref="K3:K127"/>
    <sortCondition ref="B3:B127"/>
    <sortCondition ref="C3:C127"/>
  </sortState>
  <mergeCells count="1">
    <mergeCell ref="B1:I1"/>
  </mergeCells>
  <phoneticPr fontId="1" type="noConversion"/>
  <pageMargins left="0.2" right="0.2" top="0.75" bottom="0.75" header="0.3" footer="0.3"/>
  <pageSetup paperSize="9" orientation="landscape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0AEEE-8019-B445-B6A2-065F89AA19B0}">
  <dimension ref="B1:P29"/>
  <sheetViews>
    <sheetView zoomScale="114" zoomScaleNormal="114" workbookViewId="0">
      <selection activeCell="I19" sqref="I19"/>
    </sheetView>
  </sheetViews>
  <sheetFormatPr baseColWidth="10" defaultRowHeight="16"/>
  <cols>
    <col min="1" max="1" width="10.7109375" style="7"/>
    <col min="2" max="2" width="11.85546875" style="7" customWidth="1"/>
    <col min="3" max="3" width="11" style="8" bestFit="1" customWidth="1"/>
    <col min="4" max="5" width="11.140625" style="8" bestFit="1" customWidth="1"/>
    <col min="6" max="6" width="11" style="8" bestFit="1" customWidth="1"/>
    <col min="7" max="7" width="12" style="8" bestFit="1" customWidth="1"/>
    <col min="8" max="8" width="11.85546875" style="8" bestFit="1" customWidth="1"/>
    <col min="9" max="9" width="10.7109375" style="7"/>
    <col min="10" max="10" width="10.7109375" style="8"/>
    <col min="11" max="11" width="10.85546875" style="8" bestFit="1" customWidth="1"/>
    <col min="12" max="12" width="12.28515625" style="9" customWidth="1"/>
    <col min="13" max="13" width="11" style="7" bestFit="1" customWidth="1"/>
    <col min="14" max="14" width="10.7109375" style="7"/>
    <col min="15" max="16" width="13.140625" style="7" customWidth="1"/>
    <col min="17" max="16384" width="10.7109375" style="7"/>
  </cols>
  <sheetData>
    <row r="1" spans="2:16" ht="19">
      <c r="B1" s="42" t="s">
        <v>120</v>
      </c>
      <c r="C1" s="42"/>
      <c r="D1" s="42"/>
      <c r="E1" s="42"/>
      <c r="F1" s="42"/>
      <c r="G1" s="42"/>
      <c r="H1" s="42"/>
      <c r="J1" s="42" t="s">
        <v>163</v>
      </c>
      <c r="K1" s="42"/>
      <c r="L1" s="42"/>
      <c r="M1" s="42"/>
      <c r="O1" s="46" t="s">
        <v>158</v>
      </c>
      <c r="P1" s="46"/>
    </row>
    <row r="2" spans="2:16">
      <c r="O2" s="23" t="s">
        <v>159</v>
      </c>
      <c r="P2" s="10" t="s">
        <v>160</v>
      </c>
    </row>
    <row r="3" spans="2:16" ht="18" customHeight="1">
      <c r="B3" s="10" t="s">
        <v>6</v>
      </c>
      <c r="C3" s="10" t="s">
        <v>112</v>
      </c>
      <c r="D3" s="10" t="s">
        <v>114</v>
      </c>
      <c r="E3" s="10" t="s">
        <v>113</v>
      </c>
      <c r="F3" s="11" t="s">
        <v>115</v>
      </c>
      <c r="G3" s="11" t="s">
        <v>116</v>
      </c>
      <c r="H3" s="11" t="s">
        <v>119</v>
      </c>
      <c r="J3" s="10" t="s">
        <v>162</v>
      </c>
      <c r="K3" s="10" t="s">
        <v>155</v>
      </c>
      <c r="L3" s="49" t="s">
        <v>128</v>
      </c>
      <c r="M3" s="49"/>
      <c r="O3" s="25" cm="1">
        <f t="array" ref="O3:O13">_xlfn._xlws.FILTER(객실배치!G:G, (객실배치!J:J=19))</f>
        <v>1203</v>
      </c>
      <c r="P3" s="12" cm="1">
        <f t="array" ref="P3:P4">_xlfn._xlws.FILTER(객실배치!G:G, (객실배치!J:J=22))</f>
        <v>1608</v>
      </c>
    </row>
    <row r="4" spans="2:16" ht="18" customHeight="1">
      <c r="B4" s="12" t="s">
        <v>7</v>
      </c>
      <c r="C4" s="12">
        <f>SUMIF(객실배치!B:B, 통계!B4, 객실배치!D:D)</f>
        <v>64</v>
      </c>
      <c r="D4" s="12">
        <f>COUNTIFS(객실배치!B:B, 통계!B4, 객실배치!F:F, 17)</f>
        <v>15</v>
      </c>
      <c r="E4" s="12">
        <f>COUNTIFS(객실배치!B:B, 통계!B4, 객실배치!F:F, 25)</f>
        <v>7</v>
      </c>
      <c r="F4" s="13">
        <f>COUNTIFS(객실배치!B:B, 통계!B4, 객실배치!H:H, 1)</f>
        <v>3</v>
      </c>
      <c r="G4" s="13">
        <f>COUNTIFS(객실배치!B:B, 통계!B4, 객실배치!H:H, 2)</f>
        <v>14</v>
      </c>
      <c r="H4" s="13">
        <f>COUNTIFS(객실배치!B:B, 통계!B4, 객실배치!H:H, 3)</f>
        <v>5</v>
      </c>
      <c r="J4" s="10" t="s">
        <v>151</v>
      </c>
      <c r="K4" s="12">
        <f>COUNTIFS(객실배치!F:F,17,객실배치!H:H,1)</f>
        <v>1</v>
      </c>
      <c r="L4" s="14">
        <f>SUM(K4*70000)</f>
        <v>70000</v>
      </c>
      <c r="M4" s="47">
        <f>SUM(L4:L6)</f>
        <v>9940000</v>
      </c>
      <c r="O4" s="25">
        <v>2106</v>
      </c>
      <c r="P4" s="12">
        <v>1609</v>
      </c>
    </row>
    <row r="5" spans="2:16" ht="18" customHeight="1">
      <c r="B5" s="12" t="s">
        <v>29</v>
      </c>
      <c r="C5" s="12">
        <f>SUMIF(객실배치!B:B, 통계!B5, 객실배치!D:D)</f>
        <v>65</v>
      </c>
      <c r="D5" s="12">
        <f>COUNTIFS(객실배치!B:B, 통계!B5, 객실배치!F:F, 17)</f>
        <v>12</v>
      </c>
      <c r="E5" s="12">
        <f>COUNTIFS(객실배치!B:B, 통계!B5, 객실배치!F:F, 25)</f>
        <v>12</v>
      </c>
      <c r="F5" s="13">
        <f>COUNTIFS(객실배치!B:B, 통계!B5, 객실배치!H:H, 1)</f>
        <v>0</v>
      </c>
      <c r="G5" s="13">
        <f>COUNTIFS(객실배치!B:B, 통계!B5, 객실배치!H:H, 2)</f>
        <v>21</v>
      </c>
      <c r="H5" s="13">
        <f>COUNTIFS(객실배치!B:B, 통계!B5, 객실배치!H:H, 3)</f>
        <v>3</v>
      </c>
      <c r="J5" s="10" t="s">
        <v>149</v>
      </c>
      <c r="K5" s="12">
        <f>COUNTIFS(객실배치!F:F,17,객실배치!H:H,2)</f>
        <v>60</v>
      </c>
      <c r="L5" s="14">
        <f>SUM(K5*70000*2)</f>
        <v>8400000</v>
      </c>
      <c r="M5" s="48"/>
      <c r="O5" s="25">
        <v>2101</v>
      </c>
      <c r="P5" s="12"/>
    </row>
    <row r="6" spans="2:16" ht="18" customHeight="1">
      <c r="B6" s="12" t="s">
        <v>51</v>
      </c>
      <c r="C6" s="12">
        <f>SUMIF(객실배치!B:B, 통계!B6, 객실배치!D:D)</f>
        <v>57</v>
      </c>
      <c r="D6" s="12">
        <f>COUNTIFS(객실배치!B:B, 통계!B6, 객실배치!F:F, 17)</f>
        <v>13</v>
      </c>
      <c r="E6" s="12">
        <f>COUNTIFS(객실배치!B:B, 통계!B6, 객실배치!F:F, 25)</f>
        <v>7</v>
      </c>
      <c r="F6" s="13">
        <f>COUNTIFS(객실배치!B:B, 통계!B6, 객실배치!H:H, 1)</f>
        <v>0</v>
      </c>
      <c r="G6" s="13">
        <f>COUNTIFS(객실배치!B:B, 통계!B6, 객실배치!H:H, 2)</f>
        <v>18</v>
      </c>
      <c r="H6" s="13">
        <f>COUNTIFS(객실배치!B:B, 통계!B6, 객실배치!H:H, 3)</f>
        <v>2</v>
      </c>
      <c r="J6" s="10" t="s">
        <v>150</v>
      </c>
      <c r="K6" s="12">
        <f>COUNTIFS(객실배치!F:F,17,객실배치!H:H,3)</f>
        <v>7</v>
      </c>
      <c r="L6" s="14">
        <f>SUM(K6*70000*3)</f>
        <v>1470000</v>
      </c>
      <c r="M6" s="48"/>
      <c r="O6" s="25">
        <v>2105</v>
      </c>
      <c r="P6" s="12"/>
    </row>
    <row r="7" spans="2:16" ht="18" customHeight="1">
      <c r="B7" s="12" t="s">
        <v>96</v>
      </c>
      <c r="C7" s="12">
        <f>SUMIF(객실배치!B:B, 통계!B7, 객실배치!D:D)</f>
        <v>41</v>
      </c>
      <c r="D7" s="12">
        <f>COUNTIFS(객실배치!B:B, 통계!B7, 객실배치!F:F, 17)</f>
        <v>9</v>
      </c>
      <c r="E7" s="12">
        <f>COUNTIFS(객실배치!B:B, 통계!B7, 객실배치!F:F, 25)</f>
        <v>6</v>
      </c>
      <c r="F7" s="13">
        <f>COUNTIFS(객실배치!B:B, 통계!B7, 객실배치!H:H, 1)</f>
        <v>0</v>
      </c>
      <c r="G7" s="13">
        <f>COUNTIFS(객실배치!B:B, 통계!B7, 객실배치!H:H, 2)</f>
        <v>14</v>
      </c>
      <c r="H7" s="13">
        <f>COUNTIFS(객실배치!B:B, 통계!B7, 객실배치!H:H, 3)</f>
        <v>1</v>
      </c>
      <c r="J7" s="10" t="s">
        <v>152</v>
      </c>
      <c r="K7" s="12">
        <f>COUNTIFS(객실배치!F:F,25,객실배치!H:H,1)</f>
        <v>3</v>
      </c>
      <c r="L7" s="14">
        <f>SUM(K7*90000)</f>
        <v>270000</v>
      </c>
      <c r="M7" s="47">
        <f>SUM(L7:L9)</f>
        <v>8370000</v>
      </c>
      <c r="O7" s="25">
        <v>1206</v>
      </c>
      <c r="P7" s="12"/>
    </row>
    <row r="8" spans="2:16" ht="18" customHeight="1">
      <c r="B8" s="12" t="s">
        <v>87</v>
      </c>
      <c r="C8" s="12">
        <f>SUMIF(객실배치!B:B, 통계!B8, 객실배치!D:D)</f>
        <v>27</v>
      </c>
      <c r="D8" s="12">
        <f>COUNTIFS(객실배치!B:B, 통계!B8, 객실배치!F:F, 17)</f>
        <v>5</v>
      </c>
      <c r="E8" s="12">
        <f>COUNTIFS(객실배치!B:B, 통계!B8, 객실배치!F:F, 25)</f>
        <v>3</v>
      </c>
      <c r="F8" s="13">
        <f>COUNTIFS(객실배치!B:B, 통계!B8, 객실배치!H:H, 1)</f>
        <v>0</v>
      </c>
      <c r="G8" s="13">
        <f>COUNTIFS(객실배치!B:B, 통계!B8, 객실배치!H:H, 2)</f>
        <v>8</v>
      </c>
      <c r="H8" s="13">
        <f>COUNTIFS(객실배치!B:B, 통계!B8, 객실배치!H:H, 3)</f>
        <v>0</v>
      </c>
      <c r="J8" s="10" t="s">
        <v>153</v>
      </c>
      <c r="K8" s="12">
        <f>COUNTIFS(객실배치!F:F,25,객실배치!H:H,2)</f>
        <v>36</v>
      </c>
      <c r="L8" s="14">
        <f>SUM(K8*90000*2)</f>
        <v>6480000</v>
      </c>
      <c r="M8" s="47"/>
      <c r="O8" s="25">
        <v>1412</v>
      </c>
      <c r="P8" s="12"/>
    </row>
    <row r="9" spans="2:16" ht="18" customHeight="1">
      <c r="B9" s="12" t="s">
        <v>82</v>
      </c>
      <c r="C9" s="12">
        <f>SUMIF(객실배치!B:B, 통계!B9, 객실배치!D:D)</f>
        <v>12</v>
      </c>
      <c r="D9" s="12">
        <f>COUNTIFS(객실배치!B:B, 통계!B9, 객실배치!F:F, 17)</f>
        <v>2</v>
      </c>
      <c r="E9" s="12">
        <f>COUNTIFS(객실배치!B:B, 통계!B9, 객실배치!F:F, 25)</f>
        <v>2</v>
      </c>
      <c r="F9" s="13">
        <f>COUNTIFS(객실배치!B:B, 통계!B9, 객실배치!H:H, 1)</f>
        <v>0</v>
      </c>
      <c r="G9" s="13">
        <f>COUNTIFS(객실배치!B:B, 통계!B9, 객실배치!H:H, 2)</f>
        <v>4</v>
      </c>
      <c r="H9" s="13">
        <f>COUNTIFS(객실배치!B:B, 통계!B9, 객실배치!H:H, 3)</f>
        <v>0</v>
      </c>
      <c r="J9" s="10" t="s">
        <v>154</v>
      </c>
      <c r="K9" s="12">
        <f>COUNTIFS(객실배치!F:F,25,객실배치!H:H,3)</f>
        <v>6</v>
      </c>
      <c r="L9" s="14">
        <f>SUM(K9*90000*3)</f>
        <v>1620000</v>
      </c>
      <c r="M9" s="47"/>
      <c r="O9" s="25">
        <v>1409</v>
      </c>
      <c r="P9" s="12"/>
    </row>
    <row r="10" spans="2:16" ht="18" customHeight="1">
      <c r="B10" s="12" t="s">
        <v>70</v>
      </c>
      <c r="C10" s="12">
        <f>SUMIF(객실배치!B:B, 통계!B10, 객실배치!D:D)</f>
        <v>33</v>
      </c>
      <c r="D10" s="12">
        <f>COUNTIFS(객실배치!B:B, 통계!B10, 객실배치!F:F, 17)</f>
        <v>7</v>
      </c>
      <c r="E10" s="12">
        <f>COUNTIFS(객실배치!B:B, 통계!B10, 객실배치!F:F, 25)</f>
        <v>5</v>
      </c>
      <c r="F10" s="13">
        <f>COUNTIFS(객실배치!B:B, 통계!B10, 객실배치!H:H, 1)</f>
        <v>1</v>
      </c>
      <c r="G10" s="13">
        <f>COUNTIFS(객실배치!B:B, 통계!B10, 객실배치!H:H, 2)</f>
        <v>10</v>
      </c>
      <c r="H10" s="13">
        <f>COUNTIFS(객실배치!B:B, 통계!B10, 객실배치!H:H, 3)</f>
        <v>1</v>
      </c>
      <c r="O10" s="25">
        <v>1312</v>
      </c>
      <c r="P10" s="12"/>
    </row>
    <row r="11" spans="2:16" ht="18" customHeight="1">
      <c r="B11" s="12" t="s">
        <v>107</v>
      </c>
      <c r="C11" s="12">
        <f>SUMIF(객실배치!B:B, 통계!B11, 객실배치!D:D)</f>
        <v>19</v>
      </c>
      <c r="D11" s="12">
        <f>COUNTIFS(객실배치!B:B, 통계!B11, 객실배치!F:F, 17)</f>
        <v>5</v>
      </c>
      <c r="E11" s="12">
        <f>COUNTIFS(객실배치!B:B, 통계!B11, 객실배치!F:F, 25)</f>
        <v>3</v>
      </c>
      <c r="F11" s="13">
        <f>COUNTIFS(객실배치!B:B, 통계!B11, 객실배치!H:H, 1)</f>
        <v>0</v>
      </c>
      <c r="G11" s="13">
        <f>COUNTIFS(객실배치!B:B, 통계!B11, 객실배치!H:H, 2)</f>
        <v>7</v>
      </c>
      <c r="H11" s="13">
        <f>COUNTIFS(객실배치!B:B, 통계!B11, 객실배치!H:H, 3)</f>
        <v>1</v>
      </c>
      <c r="J11" s="11" t="s">
        <v>117</v>
      </c>
      <c r="K11" s="50">
        <f>SUM(M4,M7)</f>
        <v>18310000</v>
      </c>
      <c r="L11" s="51"/>
      <c r="M11" s="51"/>
      <c r="O11" s="25">
        <v>1305</v>
      </c>
      <c r="P11" s="12"/>
    </row>
    <row r="12" spans="2:16" ht="18" customHeight="1">
      <c r="B12" s="10" t="s">
        <v>117</v>
      </c>
      <c r="C12" s="10">
        <f t="shared" ref="C12:H12" si="0">SUM(C4:C11)</f>
        <v>318</v>
      </c>
      <c r="D12" s="10">
        <f t="shared" si="0"/>
        <v>68</v>
      </c>
      <c r="E12" s="10">
        <f t="shared" si="0"/>
        <v>45</v>
      </c>
      <c r="F12" s="11">
        <f t="shared" si="0"/>
        <v>4</v>
      </c>
      <c r="G12" s="11">
        <f t="shared" si="0"/>
        <v>96</v>
      </c>
      <c r="H12" s="11">
        <f t="shared" si="0"/>
        <v>13</v>
      </c>
      <c r="O12" s="25">
        <v>1302</v>
      </c>
      <c r="P12" s="12"/>
    </row>
    <row r="13" spans="2:16" ht="18" customHeight="1">
      <c r="O13" s="25">
        <v>1504</v>
      </c>
      <c r="P13" s="12"/>
    </row>
    <row r="14" spans="2:16" ht="18" customHeight="1">
      <c r="B14" s="10" t="s">
        <v>135</v>
      </c>
      <c r="C14" s="12">
        <f>SUMIF(객실배치!B:B, 통계!B14, 객실배치!D:D)</f>
        <v>0</v>
      </c>
      <c r="D14" s="12">
        <f>COUNTIFS(객실배치!B:B, 통계!B14, 객실배치!F:F, 17)</f>
        <v>0</v>
      </c>
      <c r="E14" s="12">
        <f>COUNTIFS(객실배치!B:B, 통계!B14, 객실배치!F:F, 25)</f>
        <v>2</v>
      </c>
      <c r="F14" s="12">
        <f>COUNTIFS(객실배치!B:B, 통계!B14, 객실배치!H:H, 1)</f>
        <v>0</v>
      </c>
      <c r="G14" s="12">
        <f>COUNTIFS(객실배치!B:B, 통계!B14, 객실배치!H:H, 2)</f>
        <v>0</v>
      </c>
      <c r="H14" s="12">
        <f>COUNTIFS(객실배치!B:B, 통계!B14, 객실배치!H:H, 3)</f>
        <v>0</v>
      </c>
      <c r="L14" s="7"/>
    </row>
    <row r="15" spans="2:16" ht="18" customHeight="1">
      <c r="B15" s="8"/>
      <c r="J15" s="23" t="s">
        <v>157</v>
      </c>
      <c r="K15" s="7"/>
      <c r="L15" s="23" t="s">
        <v>161</v>
      </c>
    </row>
    <row r="16" spans="2:16" ht="18" customHeight="1">
      <c r="B16" s="42" t="s">
        <v>121</v>
      </c>
      <c r="C16" s="42"/>
      <c r="D16" s="42"/>
      <c r="E16" s="42"/>
      <c r="F16" s="42"/>
      <c r="G16" s="42"/>
      <c r="H16" s="15"/>
      <c r="J16" s="25" cm="1">
        <f t="array" ref="J16:J25">_xlfn._xlws.FILTER(객실배치!G:G, (객실배치!F:F=17)*(객실배치!D:D&gt;=4))</f>
        <v>2106</v>
      </c>
      <c r="K16" s="7"/>
      <c r="L16" s="24" cm="1">
        <f t="array" ref="L16:L19">_xlfn._xlws.FILTER(객실배치!G:G, (객실배치!H:H=1))</f>
        <v>1205</v>
      </c>
    </row>
    <row r="17" spans="2:13" ht="18" customHeight="1">
      <c r="B17" s="8"/>
      <c r="J17" s="25">
        <v>2105</v>
      </c>
      <c r="K17" s="7"/>
      <c r="L17" s="24">
        <v>1208</v>
      </c>
    </row>
    <row r="18" spans="2:13" ht="18" customHeight="1">
      <c r="B18" s="10"/>
      <c r="C18" s="10" t="s">
        <v>122</v>
      </c>
      <c r="D18" s="10"/>
      <c r="E18" s="10" t="s">
        <v>123</v>
      </c>
      <c r="F18" s="10"/>
      <c r="G18" s="10" t="s">
        <v>124</v>
      </c>
      <c r="J18" s="25">
        <v>2305</v>
      </c>
      <c r="K18" s="7"/>
      <c r="L18" s="24">
        <v>2507</v>
      </c>
    </row>
    <row r="19" spans="2:13" ht="18" customHeight="1">
      <c r="B19" s="12" t="s">
        <v>125</v>
      </c>
      <c r="C19" s="12"/>
      <c r="D19" s="12"/>
      <c r="E19" s="12">
        <v>230</v>
      </c>
      <c r="F19" s="12"/>
      <c r="G19" s="12">
        <v>200</v>
      </c>
      <c r="J19" s="25">
        <v>2306</v>
      </c>
      <c r="K19" s="7"/>
      <c r="L19" s="24">
        <v>1307</v>
      </c>
    </row>
    <row r="20" spans="2:13" ht="18" customHeight="1">
      <c r="B20" s="12" t="s">
        <v>126</v>
      </c>
      <c r="C20" s="12"/>
      <c r="D20" s="12"/>
      <c r="E20" s="12"/>
      <c r="F20" s="12"/>
      <c r="G20" s="12">
        <v>250</v>
      </c>
      <c r="J20" s="25">
        <v>2307</v>
      </c>
      <c r="K20" s="7"/>
      <c r="L20" s="24"/>
    </row>
    <row r="21" spans="2:13" ht="18" customHeight="1">
      <c r="B21" s="12" t="s">
        <v>127</v>
      </c>
      <c r="C21" s="12">
        <v>270</v>
      </c>
      <c r="D21" s="12"/>
      <c r="E21" s="12">
        <v>280</v>
      </c>
      <c r="F21" s="12"/>
      <c r="G21" s="12"/>
      <c r="J21" s="25">
        <v>2405</v>
      </c>
      <c r="K21" s="7"/>
      <c r="L21" s="24"/>
    </row>
    <row r="22" spans="2:13" ht="18" customHeight="1">
      <c r="B22" s="11" t="s">
        <v>128</v>
      </c>
      <c r="C22" s="11">
        <f>SUM(C19:C21)</f>
        <v>270</v>
      </c>
      <c r="D22" s="11"/>
      <c r="E22" s="11">
        <f t="shared" ref="E22:G22" si="1">SUM(E19:E21)</f>
        <v>510</v>
      </c>
      <c r="F22" s="11"/>
      <c r="G22" s="11">
        <f t="shared" si="1"/>
        <v>450</v>
      </c>
      <c r="H22" s="18"/>
      <c r="J22" s="25">
        <v>2505</v>
      </c>
      <c r="K22" s="7"/>
      <c r="L22" s="24"/>
    </row>
    <row r="23" spans="2:13" ht="18" customHeight="1">
      <c r="B23" s="16"/>
      <c r="J23" s="25">
        <v>2406</v>
      </c>
      <c r="K23" s="7"/>
      <c r="L23" s="24"/>
    </row>
    <row r="24" spans="2:13" ht="18" customHeight="1">
      <c r="B24" s="10" t="s">
        <v>118</v>
      </c>
      <c r="C24" s="19">
        <f>SUM(C22:G22)</f>
        <v>1230</v>
      </c>
      <c r="D24" s="20" t="s">
        <v>156</v>
      </c>
      <c r="E24" s="43">
        <f>SUM(C24*11000)</f>
        <v>13530000</v>
      </c>
      <c r="F24" s="45"/>
      <c r="G24" s="44"/>
      <c r="J24" s="25">
        <v>2407</v>
      </c>
      <c r="K24" s="7"/>
      <c r="L24" s="24"/>
    </row>
    <row r="25" spans="2:13" ht="18" customHeight="1">
      <c r="J25" s="25">
        <v>2601</v>
      </c>
      <c r="K25" s="7"/>
      <c r="L25" s="24"/>
    </row>
    <row r="26" spans="2:13" ht="18" customHeight="1">
      <c r="B26" s="17" t="s">
        <v>129</v>
      </c>
      <c r="C26" s="43">
        <v>3150000</v>
      </c>
      <c r="D26" s="44"/>
      <c r="F26" s="7"/>
      <c r="G26" s="7"/>
      <c r="J26" s="21"/>
      <c r="K26" s="26"/>
      <c r="L26" s="7"/>
    </row>
    <row r="27" spans="2:13" ht="18" customHeight="1">
      <c r="J27" s="21"/>
      <c r="K27" s="21"/>
      <c r="L27" s="22"/>
      <c r="M27" s="21"/>
    </row>
    <row r="28" spans="2:13" ht="18" customHeight="1">
      <c r="J28" s="21"/>
      <c r="K28" s="21"/>
      <c r="L28" s="22"/>
      <c r="M28" s="21"/>
    </row>
    <row r="29" spans="2:13" ht="18" customHeight="1">
      <c r="B29" s="40" t="s">
        <v>130</v>
      </c>
      <c r="C29" s="40"/>
      <c r="D29" s="41">
        <f>SUM(K11,E24)</f>
        <v>31840000</v>
      </c>
      <c r="E29" s="40"/>
    </row>
  </sheetData>
  <mergeCells count="12">
    <mergeCell ref="O1:P1"/>
    <mergeCell ref="M4:M6"/>
    <mergeCell ref="M7:M9"/>
    <mergeCell ref="L3:M3"/>
    <mergeCell ref="K11:M11"/>
    <mergeCell ref="J1:M1"/>
    <mergeCell ref="B29:C29"/>
    <mergeCell ref="D29:E29"/>
    <mergeCell ref="B1:H1"/>
    <mergeCell ref="B16:G16"/>
    <mergeCell ref="C26:D26"/>
    <mergeCell ref="E24:G24"/>
  </mergeCells>
  <phoneticPr fontId="1" type="noConversion"/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CA40E-F57F-B242-98AB-FF86FE47F5DA}">
  <dimension ref="B2:G34"/>
  <sheetViews>
    <sheetView topLeftCell="A15" zoomScale="150" workbookViewId="0">
      <selection activeCell="I29" sqref="I29"/>
    </sheetView>
  </sheetViews>
  <sheetFormatPr baseColWidth="10" defaultRowHeight="18"/>
  <cols>
    <col min="3" max="7" width="10.7109375" style="29"/>
  </cols>
  <sheetData>
    <row r="2" spans="2:7">
      <c r="B2" s="55" t="s">
        <v>174</v>
      </c>
      <c r="C2" s="55"/>
      <c r="D2" s="55"/>
      <c r="E2" s="55"/>
      <c r="F2" s="55"/>
      <c r="G2" s="55"/>
    </row>
    <row r="3" spans="2:7">
      <c r="B3" s="10" t="s">
        <v>6</v>
      </c>
      <c r="C3" s="10" t="s">
        <v>114</v>
      </c>
      <c r="D3" s="10" t="s">
        <v>113</v>
      </c>
      <c r="E3" s="10" t="s">
        <v>115</v>
      </c>
      <c r="F3" s="10" t="s">
        <v>116</v>
      </c>
      <c r="G3" s="11" t="s">
        <v>119</v>
      </c>
    </row>
    <row r="4" spans="2:7">
      <c r="B4" s="12" t="s">
        <v>7</v>
      </c>
      <c r="C4" s="28">
        <v>15</v>
      </c>
      <c r="D4" s="28">
        <v>7</v>
      </c>
      <c r="E4" s="28">
        <v>3</v>
      </c>
      <c r="F4" s="28">
        <v>14</v>
      </c>
      <c r="G4" s="28">
        <v>5</v>
      </c>
    </row>
    <row r="5" spans="2:7">
      <c r="B5" s="12" t="s">
        <v>29</v>
      </c>
      <c r="C5" s="28">
        <v>12</v>
      </c>
      <c r="D5" s="28">
        <v>12</v>
      </c>
      <c r="E5" s="28">
        <v>0</v>
      </c>
      <c r="F5" s="28">
        <v>21</v>
      </c>
      <c r="G5" s="28">
        <v>3</v>
      </c>
    </row>
    <row r="6" spans="2:7">
      <c r="B6" s="12" t="s">
        <v>51</v>
      </c>
      <c r="C6" s="28">
        <v>13</v>
      </c>
      <c r="D6" s="28">
        <v>7</v>
      </c>
      <c r="E6" s="28">
        <v>0</v>
      </c>
      <c r="F6" s="28">
        <v>18</v>
      </c>
      <c r="G6" s="28">
        <v>2</v>
      </c>
    </row>
    <row r="7" spans="2:7">
      <c r="B7" s="12" t="s">
        <v>96</v>
      </c>
      <c r="C7" s="28">
        <v>9</v>
      </c>
      <c r="D7" s="28">
        <v>6</v>
      </c>
      <c r="E7" s="28">
        <v>0</v>
      </c>
      <c r="F7" s="28">
        <v>14</v>
      </c>
      <c r="G7" s="28">
        <v>1</v>
      </c>
    </row>
    <row r="8" spans="2:7">
      <c r="B8" s="12" t="s">
        <v>87</v>
      </c>
      <c r="C8" s="28">
        <v>5</v>
      </c>
      <c r="D8" s="28">
        <v>3</v>
      </c>
      <c r="E8" s="28">
        <v>0</v>
      </c>
      <c r="F8" s="28">
        <v>8</v>
      </c>
      <c r="G8" s="28">
        <v>0</v>
      </c>
    </row>
    <row r="9" spans="2:7">
      <c r="B9" s="12" t="s">
        <v>82</v>
      </c>
      <c r="C9" s="28">
        <v>2</v>
      </c>
      <c r="D9" s="28">
        <v>2</v>
      </c>
      <c r="E9" s="28">
        <v>0</v>
      </c>
      <c r="F9" s="28">
        <v>4</v>
      </c>
      <c r="G9" s="28">
        <v>0</v>
      </c>
    </row>
    <row r="10" spans="2:7">
      <c r="B10" s="12" t="s">
        <v>70</v>
      </c>
      <c r="C10" s="28">
        <v>8</v>
      </c>
      <c r="D10" s="28">
        <v>4</v>
      </c>
      <c r="E10" s="28">
        <v>1</v>
      </c>
      <c r="F10" s="28">
        <v>10</v>
      </c>
      <c r="G10" s="28">
        <v>1</v>
      </c>
    </row>
    <row r="11" spans="2:7">
      <c r="B11" s="12" t="s">
        <v>107</v>
      </c>
      <c r="C11" s="28">
        <v>4</v>
      </c>
      <c r="D11" s="28">
        <v>3</v>
      </c>
      <c r="E11" s="28">
        <v>0</v>
      </c>
      <c r="F11" s="28">
        <v>6</v>
      </c>
      <c r="G11" s="28">
        <v>1</v>
      </c>
    </row>
    <row r="12" spans="2:7">
      <c r="B12" s="10" t="s">
        <v>117</v>
      </c>
      <c r="C12" s="28">
        <v>68</v>
      </c>
      <c r="D12" s="28">
        <v>44</v>
      </c>
      <c r="E12" s="28">
        <v>4</v>
      </c>
      <c r="F12" s="28">
        <v>95</v>
      </c>
      <c r="G12" s="28">
        <v>13</v>
      </c>
    </row>
    <row r="14" spans="2:7" ht="19" thickBot="1"/>
    <row r="15" spans="2:7">
      <c r="B15" s="56" t="s">
        <v>175</v>
      </c>
      <c r="C15" s="57"/>
      <c r="D15" s="58"/>
      <c r="E15" s="59" t="s">
        <v>184</v>
      </c>
      <c r="F15" s="53" t="s">
        <v>164</v>
      </c>
      <c r="G15" s="53"/>
    </row>
    <row r="16" spans="2:7">
      <c r="B16" s="33" t="s">
        <v>8</v>
      </c>
      <c r="C16" s="2">
        <v>25</v>
      </c>
      <c r="D16" s="34">
        <v>1307</v>
      </c>
      <c r="E16" s="59"/>
      <c r="F16" s="38" t="s">
        <v>165</v>
      </c>
      <c r="G16" s="39" t="s">
        <v>166</v>
      </c>
    </row>
    <row r="17" spans="2:7">
      <c r="B17" s="33" t="s">
        <v>8</v>
      </c>
      <c r="C17" s="2">
        <v>25</v>
      </c>
      <c r="D17" s="34">
        <v>1304</v>
      </c>
      <c r="E17" s="32">
        <v>1205</v>
      </c>
      <c r="F17" s="27">
        <v>1203</v>
      </c>
      <c r="G17" s="28">
        <v>1608</v>
      </c>
    </row>
    <row r="18" spans="2:7" ht="19" thickBot="1">
      <c r="B18" s="35" t="s">
        <v>8</v>
      </c>
      <c r="C18" s="36">
        <v>25</v>
      </c>
      <c r="D18" s="37">
        <v>1308</v>
      </c>
      <c r="E18" s="32">
        <v>1208</v>
      </c>
      <c r="F18" s="27">
        <v>2106</v>
      </c>
      <c r="G18" s="28">
        <v>1609</v>
      </c>
    </row>
    <row r="19" spans="2:7">
      <c r="E19" s="28">
        <v>2507</v>
      </c>
      <c r="F19" s="27">
        <v>2101</v>
      </c>
      <c r="G19" s="28"/>
    </row>
    <row r="20" spans="2:7">
      <c r="E20" s="28">
        <v>2205</v>
      </c>
      <c r="F20" s="27">
        <v>2105</v>
      </c>
      <c r="G20" s="28"/>
    </row>
    <row r="21" spans="2:7">
      <c r="B21" s="31" t="s">
        <v>176</v>
      </c>
      <c r="C21" s="31" t="s">
        <v>177</v>
      </c>
      <c r="E21" s="28"/>
      <c r="F21" s="27">
        <v>1206</v>
      </c>
      <c r="G21" s="28"/>
    </row>
    <row r="22" spans="2:7">
      <c r="B22" s="28" t="s">
        <v>178</v>
      </c>
      <c r="C22" s="28">
        <v>2</v>
      </c>
      <c r="E22" s="28"/>
      <c r="F22" s="27">
        <v>1412</v>
      </c>
      <c r="G22" s="28"/>
    </row>
    <row r="23" spans="2:7">
      <c r="B23" s="28" t="s">
        <v>179</v>
      </c>
      <c r="C23" s="28">
        <v>59</v>
      </c>
      <c r="E23" s="28"/>
      <c r="F23" s="27">
        <v>1409</v>
      </c>
      <c r="G23" s="28"/>
    </row>
    <row r="24" spans="2:7">
      <c r="B24" s="28" t="s">
        <v>180</v>
      </c>
      <c r="C24" s="28">
        <v>7</v>
      </c>
      <c r="E24" s="28"/>
      <c r="F24" s="27">
        <v>1312</v>
      </c>
      <c r="G24" s="28"/>
    </row>
    <row r="25" spans="2:7">
      <c r="B25" s="28" t="s">
        <v>181</v>
      </c>
      <c r="C25" s="28">
        <v>2</v>
      </c>
      <c r="E25" s="28"/>
      <c r="F25" s="27">
        <v>1305</v>
      </c>
      <c r="G25" s="28"/>
    </row>
    <row r="26" spans="2:7">
      <c r="B26" s="28" t="s">
        <v>182</v>
      </c>
      <c r="C26" s="28">
        <v>36</v>
      </c>
      <c r="E26" s="28"/>
      <c r="F26" s="27">
        <v>1302</v>
      </c>
      <c r="G26" s="28"/>
    </row>
    <row r="27" spans="2:7">
      <c r="B27" s="28" t="s">
        <v>183</v>
      </c>
      <c r="C27" s="28">
        <v>6</v>
      </c>
      <c r="E27" s="28"/>
      <c r="F27" s="27">
        <v>1504</v>
      </c>
      <c r="G27" s="28"/>
    </row>
    <row r="29" spans="2:7">
      <c r="B29" s="54" t="s">
        <v>121</v>
      </c>
      <c r="C29" s="54"/>
      <c r="D29" s="54"/>
      <c r="E29" s="54"/>
      <c r="F29" s="54"/>
      <c r="G29" s="54"/>
    </row>
    <row r="30" spans="2:7">
      <c r="B30" s="31"/>
      <c r="C30" s="31" t="s">
        <v>167</v>
      </c>
      <c r="D30" s="31"/>
      <c r="E30" s="31" t="s">
        <v>168</v>
      </c>
      <c r="F30" s="31"/>
      <c r="G30" s="31" t="s">
        <v>169</v>
      </c>
    </row>
    <row r="31" spans="2:7">
      <c r="B31" s="30" t="s">
        <v>170</v>
      </c>
      <c r="C31" s="28"/>
      <c r="D31" s="28"/>
      <c r="E31" s="28">
        <v>230</v>
      </c>
      <c r="F31" s="28"/>
      <c r="G31" s="28">
        <v>200</v>
      </c>
    </row>
    <row r="32" spans="2:7">
      <c r="B32" s="30" t="s">
        <v>171</v>
      </c>
      <c r="C32" s="28"/>
      <c r="D32" s="28"/>
      <c r="E32" s="28"/>
      <c r="F32" s="28"/>
      <c r="G32" s="28">
        <v>250</v>
      </c>
    </row>
    <row r="33" spans="2:7">
      <c r="B33" s="30" t="s">
        <v>172</v>
      </c>
      <c r="C33" s="28">
        <v>270</v>
      </c>
      <c r="D33" s="28"/>
      <c r="E33" s="28">
        <v>280</v>
      </c>
      <c r="F33" s="28"/>
      <c r="G33" s="28"/>
    </row>
    <row r="34" spans="2:7">
      <c r="B34" s="30" t="s">
        <v>173</v>
      </c>
      <c r="C34" s="28">
        <v>270</v>
      </c>
      <c r="D34" s="28"/>
      <c r="E34" s="28">
        <v>510</v>
      </c>
      <c r="F34" s="28"/>
      <c r="G34" s="28">
        <v>450</v>
      </c>
    </row>
  </sheetData>
  <mergeCells count="5">
    <mergeCell ref="F15:G15"/>
    <mergeCell ref="B29:G29"/>
    <mergeCell ref="B2:G2"/>
    <mergeCell ref="B15:D15"/>
    <mergeCell ref="E15:E16"/>
  </mergeCells>
  <phoneticPr fontId="1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1</vt:i4>
      </vt:variant>
    </vt:vector>
  </HeadingPairs>
  <TitlesOfParts>
    <vt:vector size="4" baseType="lpstr">
      <vt:lpstr>객실배치</vt:lpstr>
      <vt:lpstr>통계</vt:lpstr>
      <vt:lpstr>리조트보고용</vt:lpstr>
      <vt:lpstr>객실배치!Print_Titles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epa</dc:creator>
  <cp:lastModifiedBy>epa</cp:lastModifiedBy>
  <cp:lastPrinted>2026-04-14T00:29:31Z</cp:lastPrinted>
  <dcterms:created xsi:type="dcterms:W3CDTF">2026-03-20T07:29:10Z</dcterms:created>
  <dcterms:modified xsi:type="dcterms:W3CDTF">2026-04-14T05:48:06Z</dcterms:modified>
</cp:coreProperties>
</file>